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K\Dropbox\Clases\EAFIT\Inversiones\Archivos Excel\"/>
    </mc:Choice>
  </mc:AlternateContent>
  <xr:revisionPtr revIDLastSave="0" documentId="13_ncr:1_{1FBE6B43-F005-43F1-A83C-A17E10072D02}" xr6:coauthVersionLast="47" xr6:coauthVersionMax="47" xr10:uidLastSave="{00000000-0000-0000-0000-000000000000}"/>
  <bookViews>
    <workbookView xWindow="-108" yWindow="-108" windowWidth="23256" windowHeight="12816" xr2:uid="{00000000-000D-0000-FFFF-FFFF00000000}"/>
  </bookViews>
  <sheets>
    <sheet name="ARG_Historical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771" i="1" l="1"/>
  <c r="I771" i="1"/>
  <c r="H772" i="1"/>
  <c r="I772" i="1"/>
  <c r="H773" i="1"/>
  <c r="I773" i="1"/>
  <c r="H774" i="1"/>
  <c r="I774" i="1"/>
  <c r="H775" i="1"/>
  <c r="I775" i="1"/>
  <c r="H776" i="1"/>
  <c r="I776" i="1"/>
  <c r="H777" i="1"/>
  <c r="I777" i="1"/>
  <c r="H778" i="1"/>
  <c r="I778" i="1"/>
  <c r="H779" i="1"/>
  <c r="I779" i="1"/>
  <c r="H780" i="1"/>
  <c r="I780" i="1"/>
  <c r="H781" i="1"/>
  <c r="I781" i="1"/>
  <c r="H782" i="1"/>
  <c r="I782" i="1"/>
  <c r="H783" i="1"/>
  <c r="I783" i="1"/>
  <c r="H784" i="1"/>
  <c r="I784" i="1"/>
  <c r="H785" i="1"/>
  <c r="I785" i="1"/>
  <c r="H786" i="1"/>
  <c r="I786" i="1"/>
  <c r="H787" i="1"/>
  <c r="I787" i="1"/>
  <c r="H788" i="1"/>
  <c r="I788" i="1"/>
  <c r="H789" i="1"/>
  <c r="I789" i="1"/>
  <c r="H790" i="1"/>
  <c r="I790" i="1"/>
  <c r="H791" i="1"/>
  <c r="I791" i="1"/>
  <c r="H792" i="1"/>
  <c r="I792" i="1"/>
  <c r="H793" i="1"/>
  <c r="I793" i="1"/>
  <c r="H794" i="1"/>
  <c r="I794" i="1"/>
  <c r="H795" i="1"/>
  <c r="I795" i="1"/>
  <c r="H796" i="1"/>
  <c r="I796" i="1"/>
  <c r="H797" i="1"/>
  <c r="I797" i="1"/>
  <c r="H798" i="1"/>
  <c r="I798" i="1"/>
  <c r="H799" i="1"/>
  <c r="I799" i="1"/>
  <c r="H800" i="1"/>
  <c r="I800" i="1"/>
  <c r="H801" i="1"/>
  <c r="I801" i="1"/>
  <c r="H802" i="1"/>
  <c r="I802" i="1"/>
  <c r="H803" i="1"/>
  <c r="I803" i="1"/>
  <c r="H804" i="1"/>
  <c r="I804" i="1"/>
  <c r="H805" i="1"/>
  <c r="I805" i="1"/>
  <c r="H806" i="1"/>
  <c r="I806" i="1"/>
  <c r="H807" i="1"/>
  <c r="I807" i="1"/>
  <c r="H808" i="1"/>
  <c r="I808" i="1"/>
  <c r="H809" i="1"/>
  <c r="I809" i="1"/>
  <c r="H810" i="1"/>
  <c r="I810" i="1"/>
  <c r="H811" i="1"/>
  <c r="I811" i="1"/>
  <c r="H812" i="1"/>
  <c r="I812" i="1"/>
  <c r="H813" i="1"/>
  <c r="I813" i="1"/>
  <c r="H814" i="1"/>
  <c r="I814" i="1"/>
  <c r="H815" i="1"/>
  <c r="I815" i="1"/>
  <c r="H816" i="1"/>
  <c r="I816" i="1"/>
  <c r="H817" i="1"/>
  <c r="I817" i="1"/>
  <c r="H818" i="1"/>
  <c r="I818" i="1"/>
  <c r="H819" i="1"/>
  <c r="I819" i="1"/>
  <c r="H820" i="1"/>
  <c r="I820" i="1"/>
  <c r="H821" i="1"/>
  <c r="I821" i="1"/>
  <c r="H822" i="1"/>
  <c r="I822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E771" i="1" l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666" i="1"/>
  <c r="I666" i="1" s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666" i="1"/>
  <c r="G615" i="1"/>
  <c r="H615" i="1" s="1"/>
  <c r="G616" i="1"/>
  <c r="I616" i="1" s="1"/>
  <c r="H616" i="1"/>
  <c r="G617" i="1"/>
  <c r="H617" i="1"/>
  <c r="I617" i="1"/>
  <c r="G618" i="1"/>
  <c r="H618" i="1"/>
  <c r="I618" i="1"/>
  <c r="G619" i="1"/>
  <c r="H619" i="1" s="1"/>
  <c r="G620" i="1"/>
  <c r="I620" i="1" s="1"/>
  <c r="H620" i="1"/>
  <c r="G621" i="1"/>
  <c r="H621" i="1"/>
  <c r="I621" i="1"/>
  <c r="G622" i="1"/>
  <c r="H622" i="1" s="1"/>
  <c r="I622" i="1"/>
  <c r="G623" i="1"/>
  <c r="H623" i="1" s="1"/>
  <c r="G624" i="1"/>
  <c r="I624" i="1" s="1"/>
  <c r="H624" i="1"/>
  <c r="G625" i="1"/>
  <c r="H625" i="1"/>
  <c r="I625" i="1"/>
  <c r="G626" i="1"/>
  <c r="H626" i="1" s="1"/>
  <c r="I626" i="1"/>
  <c r="G627" i="1"/>
  <c r="H627" i="1" s="1"/>
  <c r="G628" i="1"/>
  <c r="I628" i="1" s="1"/>
  <c r="H628" i="1"/>
  <c r="G629" i="1"/>
  <c r="H629" i="1"/>
  <c r="I629" i="1"/>
  <c r="G630" i="1"/>
  <c r="H630" i="1" s="1"/>
  <c r="I630" i="1"/>
  <c r="G631" i="1"/>
  <c r="H631" i="1" s="1"/>
  <c r="G632" i="1"/>
  <c r="I632" i="1" s="1"/>
  <c r="H632" i="1"/>
  <c r="G633" i="1"/>
  <c r="H633" i="1"/>
  <c r="I633" i="1"/>
  <c r="G634" i="1"/>
  <c r="H634" i="1"/>
  <c r="I634" i="1"/>
  <c r="G635" i="1"/>
  <c r="H635" i="1" s="1"/>
  <c r="G636" i="1"/>
  <c r="I636" i="1" s="1"/>
  <c r="H636" i="1"/>
  <c r="G637" i="1"/>
  <c r="H637" i="1"/>
  <c r="I637" i="1"/>
  <c r="G638" i="1"/>
  <c r="H638" i="1"/>
  <c r="I638" i="1"/>
  <c r="G639" i="1"/>
  <c r="H639" i="1" s="1"/>
  <c r="G640" i="1"/>
  <c r="I640" i="1" s="1"/>
  <c r="H640" i="1"/>
  <c r="G641" i="1"/>
  <c r="H641" i="1"/>
  <c r="I641" i="1"/>
  <c r="G642" i="1"/>
  <c r="H642" i="1"/>
  <c r="I642" i="1"/>
  <c r="G643" i="1"/>
  <c r="H643" i="1" s="1"/>
  <c r="G644" i="1"/>
  <c r="I644" i="1" s="1"/>
  <c r="H644" i="1"/>
  <c r="G645" i="1"/>
  <c r="H645" i="1"/>
  <c r="I645" i="1"/>
  <c r="G646" i="1"/>
  <c r="H646" i="1"/>
  <c r="I646" i="1"/>
  <c r="G647" i="1"/>
  <c r="H647" i="1" s="1"/>
  <c r="G648" i="1"/>
  <c r="I648" i="1" s="1"/>
  <c r="H648" i="1"/>
  <c r="G649" i="1"/>
  <c r="H649" i="1"/>
  <c r="I649" i="1"/>
  <c r="G650" i="1"/>
  <c r="H650" i="1"/>
  <c r="I650" i="1"/>
  <c r="G651" i="1"/>
  <c r="H651" i="1" s="1"/>
  <c r="G652" i="1"/>
  <c r="I652" i="1" s="1"/>
  <c r="H652" i="1"/>
  <c r="G653" i="1"/>
  <c r="H653" i="1"/>
  <c r="I653" i="1"/>
  <c r="G654" i="1"/>
  <c r="H654" i="1"/>
  <c r="I654" i="1"/>
  <c r="G655" i="1"/>
  <c r="H655" i="1" s="1"/>
  <c r="G656" i="1"/>
  <c r="I656" i="1" s="1"/>
  <c r="H656" i="1"/>
  <c r="G657" i="1"/>
  <c r="H657" i="1"/>
  <c r="I657" i="1"/>
  <c r="G658" i="1"/>
  <c r="H658" i="1"/>
  <c r="I658" i="1"/>
  <c r="G659" i="1"/>
  <c r="H659" i="1" s="1"/>
  <c r="G660" i="1"/>
  <c r="I660" i="1" s="1"/>
  <c r="H660" i="1"/>
  <c r="G661" i="1"/>
  <c r="H661" i="1"/>
  <c r="I661" i="1"/>
  <c r="G662" i="1"/>
  <c r="H662" i="1"/>
  <c r="I662" i="1"/>
  <c r="G663" i="1"/>
  <c r="H663" i="1" s="1"/>
  <c r="G664" i="1"/>
  <c r="I664" i="1" s="1"/>
  <c r="H664" i="1"/>
  <c r="G665" i="1"/>
  <c r="H665" i="1"/>
  <c r="I665" i="1"/>
  <c r="G666" i="1"/>
  <c r="H666" i="1"/>
  <c r="I663" i="1" l="1"/>
  <c r="I659" i="1"/>
  <c r="I655" i="1"/>
  <c r="I651" i="1"/>
  <c r="I647" i="1"/>
  <c r="I643" i="1"/>
  <c r="I639" i="1"/>
  <c r="I635" i="1"/>
  <c r="I631" i="1"/>
  <c r="I627" i="1"/>
  <c r="I623" i="1"/>
  <c r="I619" i="1"/>
  <c r="I615" i="1"/>
  <c r="H557" i="1"/>
  <c r="G594" i="1"/>
  <c r="H594" i="1" s="1"/>
  <c r="G595" i="1"/>
  <c r="H595" i="1" s="1"/>
  <c r="G596" i="1"/>
  <c r="H596" i="1"/>
  <c r="I596" i="1"/>
  <c r="G597" i="1"/>
  <c r="H597" i="1"/>
  <c r="I597" i="1"/>
  <c r="G598" i="1"/>
  <c r="H598" i="1" s="1"/>
  <c r="G599" i="1"/>
  <c r="H599" i="1" s="1"/>
  <c r="G600" i="1"/>
  <c r="H600" i="1"/>
  <c r="I600" i="1"/>
  <c r="G601" i="1"/>
  <c r="H601" i="1"/>
  <c r="I601" i="1"/>
  <c r="G602" i="1"/>
  <c r="H602" i="1" s="1"/>
  <c r="G603" i="1"/>
  <c r="H603" i="1" s="1"/>
  <c r="G604" i="1"/>
  <c r="H604" i="1"/>
  <c r="I604" i="1"/>
  <c r="G605" i="1"/>
  <c r="H605" i="1"/>
  <c r="I605" i="1"/>
  <c r="G606" i="1"/>
  <c r="H606" i="1" s="1"/>
  <c r="G607" i="1"/>
  <c r="H607" i="1" s="1"/>
  <c r="G608" i="1"/>
  <c r="H608" i="1"/>
  <c r="I608" i="1"/>
  <c r="G609" i="1"/>
  <c r="H609" i="1"/>
  <c r="I609" i="1"/>
  <c r="G610" i="1"/>
  <c r="H610" i="1" s="1"/>
  <c r="G611" i="1"/>
  <c r="H611" i="1" s="1"/>
  <c r="G612" i="1"/>
  <c r="H612" i="1"/>
  <c r="I612" i="1"/>
  <c r="G613" i="1"/>
  <c r="H613" i="1"/>
  <c r="I613" i="1"/>
  <c r="G614" i="1"/>
  <c r="H614" i="1" s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I593" i="1" s="1"/>
  <c r="G3" i="1"/>
  <c r="H3" i="1" s="1"/>
  <c r="E3" i="1"/>
  <c r="I3" i="1" s="1"/>
  <c r="G4" i="1"/>
  <c r="H4" i="1" s="1"/>
  <c r="E4" i="1"/>
  <c r="I4" i="1" s="1"/>
  <c r="G5" i="1"/>
  <c r="H5" i="1" s="1"/>
  <c r="E5" i="1"/>
  <c r="I5" i="1" s="1"/>
  <c r="G6" i="1"/>
  <c r="H6" i="1" s="1"/>
  <c r="E6" i="1"/>
  <c r="I6" i="1"/>
  <c r="G7" i="1"/>
  <c r="H7" i="1" s="1"/>
  <c r="E7" i="1"/>
  <c r="G8" i="1"/>
  <c r="H8" i="1" s="1"/>
  <c r="E8" i="1"/>
  <c r="I8" i="1" s="1"/>
  <c r="G9" i="1"/>
  <c r="H9" i="1" s="1"/>
  <c r="E9" i="1"/>
  <c r="I9" i="1" s="1"/>
  <c r="G10" i="1"/>
  <c r="H10" i="1" s="1"/>
  <c r="E10" i="1"/>
  <c r="I10" i="1"/>
  <c r="G11" i="1"/>
  <c r="H11" i="1" s="1"/>
  <c r="E11" i="1"/>
  <c r="I11" i="1"/>
  <c r="G12" i="1"/>
  <c r="H12" i="1" s="1"/>
  <c r="E12" i="1"/>
  <c r="I12" i="1" s="1"/>
  <c r="G13" i="1"/>
  <c r="H13" i="1" s="1"/>
  <c r="E13" i="1"/>
  <c r="I13" i="1" s="1"/>
  <c r="G14" i="1"/>
  <c r="H14" i="1" s="1"/>
  <c r="E14" i="1"/>
  <c r="I14" i="1"/>
  <c r="G15" i="1"/>
  <c r="H15" i="1" s="1"/>
  <c r="E15" i="1"/>
  <c r="I15" i="1"/>
  <c r="G16" i="1"/>
  <c r="H16" i="1" s="1"/>
  <c r="E16" i="1"/>
  <c r="I16" i="1" s="1"/>
  <c r="G17" i="1"/>
  <c r="H17" i="1" s="1"/>
  <c r="E17" i="1"/>
  <c r="I17" i="1" s="1"/>
  <c r="G18" i="1"/>
  <c r="H18" i="1" s="1"/>
  <c r="E18" i="1"/>
  <c r="I18" i="1"/>
  <c r="G19" i="1"/>
  <c r="H19" i="1" s="1"/>
  <c r="E19" i="1"/>
  <c r="I19" i="1"/>
  <c r="G20" i="1"/>
  <c r="H20" i="1" s="1"/>
  <c r="E20" i="1"/>
  <c r="I20" i="1" s="1"/>
  <c r="G21" i="1"/>
  <c r="H21" i="1" s="1"/>
  <c r="E21" i="1"/>
  <c r="I21" i="1" s="1"/>
  <c r="G22" i="1"/>
  <c r="H22" i="1" s="1"/>
  <c r="E22" i="1"/>
  <c r="I22" i="1"/>
  <c r="G23" i="1"/>
  <c r="H23" i="1" s="1"/>
  <c r="E23" i="1"/>
  <c r="I23" i="1"/>
  <c r="G24" i="1"/>
  <c r="H24" i="1" s="1"/>
  <c r="E24" i="1"/>
  <c r="I24" i="1" s="1"/>
  <c r="G25" i="1"/>
  <c r="H25" i="1" s="1"/>
  <c r="E25" i="1"/>
  <c r="I25" i="1" s="1"/>
  <c r="G26" i="1"/>
  <c r="H26" i="1" s="1"/>
  <c r="E26" i="1"/>
  <c r="I26" i="1"/>
  <c r="G27" i="1"/>
  <c r="H27" i="1" s="1"/>
  <c r="E27" i="1"/>
  <c r="I27" i="1"/>
  <c r="G28" i="1"/>
  <c r="H28" i="1" s="1"/>
  <c r="E28" i="1"/>
  <c r="I28" i="1" s="1"/>
  <c r="G29" i="1"/>
  <c r="H29" i="1" s="1"/>
  <c r="E29" i="1"/>
  <c r="I29" i="1" s="1"/>
  <c r="G30" i="1"/>
  <c r="H30" i="1" s="1"/>
  <c r="E30" i="1"/>
  <c r="I30" i="1"/>
  <c r="G31" i="1"/>
  <c r="H31" i="1" s="1"/>
  <c r="E31" i="1"/>
  <c r="I31" i="1"/>
  <c r="G32" i="1"/>
  <c r="H32" i="1" s="1"/>
  <c r="E32" i="1"/>
  <c r="I32" i="1" s="1"/>
  <c r="G33" i="1"/>
  <c r="H33" i="1" s="1"/>
  <c r="E33" i="1"/>
  <c r="I33" i="1" s="1"/>
  <c r="G34" i="1"/>
  <c r="H34" i="1" s="1"/>
  <c r="E34" i="1"/>
  <c r="I34" i="1"/>
  <c r="G35" i="1"/>
  <c r="H35" i="1" s="1"/>
  <c r="E35" i="1"/>
  <c r="I35" i="1"/>
  <c r="G36" i="1"/>
  <c r="H36" i="1" s="1"/>
  <c r="E36" i="1"/>
  <c r="I36" i="1" s="1"/>
  <c r="G37" i="1"/>
  <c r="H37" i="1" s="1"/>
  <c r="E37" i="1"/>
  <c r="I37" i="1" s="1"/>
  <c r="G38" i="1"/>
  <c r="H38" i="1" s="1"/>
  <c r="E38" i="1"/>
  <c r="I38" i="1"/>
  <c r="G39" i="1"/>
  <c r="H39" i="1" s="1"/>
  <c r="E39" i="1"/>
  <c r="I39" i="1"/>
  <c r="G40" i="1"/>
  <c r="H40" i="1" s="1"/>
  <c r="E40" i="1"/>
  <c r="I40" i="1" s="1"/>
  <c r="G41" i="1"/>
  <c r="H41" i="1" s="1"/>
  <c r="E41" i="1"/>
  <c r="I41" i="1" s="1"/>
  <c r="G42" i="1"/>
  <c r="H42" i="1" s="1"/>
  <c r="E42" i="1"/>
  <c r="I42" i="1"/>
  <c r="G43" i="1"/>
  <c r="H43" i="1" s="1"/>
  <c r="E43" i="1"/>
  <c r="I43" i="1"/>
  <c r="G44" i="1"/>
  <c r="H44" i="1" s="1"/>
  <c r="E44" i="1"/>
  <c r="I44" i="1" s="1"/>
  <c r="G45" i="1"/>
  <c r="H45" i="1" s="1"/>
  <c r="E45" i="1"/>
  <c r="I45" i="1" s="1"/>
  <c r="G46" i="1"/>
  <c r="H46" i="1" s="1"/>
  <c r="E46" i="1"/>
  <c r="I46" i="1"/>
  <c r="G47" i="1"/>
  <c r="H47" i="1" s="1"/>
  <c r="E47" i="1"/>
  <c r="I47" i="1"/>
  <c r="G48" i="1"/>
  <c r="H48" i="1" s="1"/>
  <c r="E48" i="1"/>
  <c r="G49" i="1"/>
  <c r="H49" i="1" s="1"/>
  <c r="E49" i="1"/>
  <c r="I49" i="1" s="1"/>
  <c r="G50" i="1"/>
  <c r="H50" i="1" s="1"/>
  <c r="E50" i="1"/>
  <c r="I50" i="1"/>
  <c r="G51" i="1"/>
  <c r="H51" i="1" s="1"/>
  <c r="E51" i="1"/>
  <c r="I51" i="1"/>
  <c r="G52" i="1"/>
  <c r="H52" i="1" s="1"/>
  <c r="E52" i="1"/>
  <c r="G53" i="1"/>
  <c r="H53" i="1" s="1"/>
  <c r="E53" i="1"/>
  <c r="I53" i="1" s="1"/>
  <c r="G54" i="1"/>
  <c r="H54" i="1" s="1"/>
  <c r="E54" i="1"/>
  <c r="I54" i="1"/>
  <c r="G55" i="1"/>
  <c r="H55" i="1" s="1"/>
  <c r="E55" i="1"/>
  <c r="I55" i="1"/>
  <c r="G56" i="1"/>
  <c r="H56" i="1" s="1"/>
  <c r="E56" i="1"/>
  <c r="G57" i="1"/>
  <c r="H57" i="1" s="1"/>
  <c r="E57" i="1"/>
  <c r="I57" i="1" s="1"/>
  <c r="G58" i="1"/>
  <c r="H58" i="1" s="1"/>
  <c r="E58" i="1"/>
  <c r="I58" i="1"/>
  <c r="G59" i="1"/>
  <c r="H59" i="1" s="1"/>
  <c r="E59" i="1"/>
  <c r="I59" i="1"/>
  <c r="G60" i="1"/>
  <c r="H60" i="1" s="1"/>
  <c r="E60" i="1"/>
  <c r="G61" i="1"/>
  <c r="H61" i="1" s="1"/>
  <c r="E61" i="1"/>
  <c r="I61" i="1" s="1"/>
  <c r="G62" i="1"/>
  <c r="H62" i="1" s="1"/>
  <c r="E62" i="1"/>
  <c r="I62" i="1"/>
  <c r="G63" i="1"/>
  <c r="H63" i="1" s="1"/>
  <c r="E63" i="1"/>
  <c r="I63" i="1"/>
  <c r="G64" i="1"/>
  <c r="H64" i="1" s="1"/>
  <c r="E64" i="1"/>
  <c r="G65" i="1"/>
  <c r="H65" i="1" s="1"/>
  <c r="E65" i="1"/>
  <c r="I65" i="1" s="1"/>
  <c r="G66" i="1"/>
  <c r="H66" i="1" s="1"/>
  <c r="E66" i="1"/>
  <c r="I66" i="1"/>
  <c r="G67" i="1"/>
  <c r="H67" i="1" s="1"/>
  <c r="E67" i="1"/>
  <c r="I67" i="1"/>
  <c r="G68" i="1"/>
  <c r="H68" i="1" s="1"/>
  <c r="E68" i="1"/>
  <c r="G69" i="1"/>
  <c r="H69" i="1" s="1"/>
  <c r="E69" i="1"/>
  <c r="I69" i="1" s="1"/>
  <c r="G70" i="1"/>
  <c r="H70" i="1" s="1"/>
  <c r="E70" i="1"/>
  <c r="I70" i="1"/>
  <c r="G71" i="1"/>
  <c r="H71" i="1" s="1"/>
  <c r="E71" i="1"/>
  <c r="I71" i="1"/>
  <c r="G72" i="1"/>
  <c r="H72" i="1" s="1"/>
  <c r="E72" i="1"/>
  <c r="G73" i="1"/>
  <c r="H73" i="1" s="1"/>
  <c r="E73" i="1"/>
  <c r="I73" i="1" s="1"/>
  <c r="G74" i="1"/>
  <c r="H74" i="1" s="1"/>
  <c r="E74" i="1"/>
  <c r="I74" i="1"/>
  <c r="G75" i="1"/>
  <c r="H75" i="1" s="1"/>
  <c r="E75" i="1"/>
  <c r="I75" i="1"/>
  <c r="G76" i="1"/>
  <c r="H76" i="1" s="1"/>
  <c r="E76" i="1"/>
  <c r="G77" i="1"/>
  <c r="H77" i="1" s="1"/>
  <c r="E77" i="1"/>
  <c r="I77" i="1" s="1"/>
  <c r="G78" i="1"/>
  <c r="H78" i="1" s="1"/>
  <c r="E78" i="1"/>
  <c r="I78" i="1"/>
  <c r="G79" i="1"/>
  <c r="H79" i="1" s="1"/>
  <c r="E79" i="1"/>
  <c r="I79" i="1"/>
  <c r="G80" i="1"/>
  <c r="H80" i="1" s="1"/>
  <c r="E80" i="1"/>
  <c r="G81" i="1"/>
  <c r="H81" i="1" s="1"/>
  <c r="E81" i="1"/>
  <c r="I81" i="1" s="1"/>
  <c r="G82" i="1"/>
  <c r="H82" i="1" s="1"/>
  <c r="E82" i="1"/>
  <c r="I82" i="1"/>
  <c r="G83" i="1"/>
  <c r="H83" i="1" s="1"/>
  <c r="E83" i="1"/>
  <c r="I83" i="1"/>
  <c r="G84" i="1"/>
  <c r="H84" i="1" s="1"/>
  <c r="E84" i="1"/>
  <c r="G85" i="1"/>
  <c r="H85" i="1" s="1"/>
  <c r="E85" i="1"/>
  <c r="I85" i="1" s="1"/>
  <c r="G86" i="1"/>
  <c r="H86" i="1" s="1"/>
  <c r="E86" i="1"/>
  <c r="I86" i="1"/>
  <c r="G87" i="1"/>
  <c r="H87" i="1" s="1"/>
  <c r="E87" i="1"/>
  <c r="I87" i="1"/>
  <c r="G88" i="1"/>
  <c r="H88" i="1" s="1"/>
  <c r="E88" i="1"/>
  <c r="G89" i="1"/>
  <c r="H89" i="1" s="1"/>
  <c r="E89" i="1"/>
  <c r="I89" i="1" s="1"/>
  <c r="G90" i="1"/>
  <c r="H90" i="1" s="1"/>
  <c r="E90" i="1"/>
  <c r="I90" i="1"/>
  <c r="G91" i="1"/>
  <c r="H91" i="1" s="1"/>
  <c r="E91" i="1"/>
  <c r="I91" i="1"/>
  <c r="G92" i="1"/>
  <c r="H92" i="1" s="1"/>
  <c r="E92" i="1"/>
  <c r="G93" i="1"/>
  <c r="H93" i="1" s="1"/>
  <c r="E93" i="1"/>
  <c r="I93" i="1" s="1"/>
  <c r="G94" i="1"/>
  <c r="H94" i="1" s="1"/>
  <c r="E94" i="1"/>
  <c r="I94" i="1"/>
  <c r="G95" i="1"/>
  <c r="H95" i="1" s="1"/>
  <c r="E95" i="1"/>
  <c r="I95" i="1"/>
  <c r="G96" i="1"/>
  <c r="H96" i="1" s="1"/>
  <c r="E96" i="1"/>
  <c r="G97" i="1"/>
  <c r="H97" i="1" s="1"/>
  <c r="E97" i="1"/>
  <c r="I97" i="1" s="1"/>
  <c r="G98" i="1"/>
  <c r="H98" i="1" s="1"/>
  <c r="E98" i="1"/>
  <c r="I98" i="1"/>
  <c r="G99" i="1"/>
  <c r="H99" i="1" s="1"/>
  <c r="E99" i="1"/>
  <c r="I99" i="1"/>
  <c r="G100" i="1"/>
  <c r="H100" i="1" s="1"/>
  <c r="E100" i="1"/>
  <c r="G101" i="1"/>
  <c r="H101" i="1" s="1"/>
  <c r="E101" i="1"/>
  <c r="I101" i="1" s="1"/>
  <c r="G102" i="1"/>
  <c r="H102" i="1" s="1"/>
  <c r="E102" i="1"/>
  <c r="G103" i="1"/>
  <c r="H103" i="1" s="1"/>
  <c r="E103" i="1"/>
  <c r="G104" i="1"/>
  <c r="H104" i="1" s="1"/>
  <c r="E104" i="1"/>
  <c r="I104" i="1"/>
  <c r="G105" i="1"/>
  <c r="H105" i="1" s="1"/>
  <c r="E105" i="1"/>
  <c r="I105" i="1"/>
  <c r="G106" i="1"/>
  <c r="H106" i="1" s="1"/>
  <c r="E106" i="1"/>
  <c r="G107" i="1"/>
  <c r="H107" i="1" s="1"/>
  <c r="E107" i="1"/>
  <c r="I107" i="1" s="1"/>
  <c r="G108" i="1"/>
  <c r="H108" i="1" s="1"/>
  <c r="E108" i="1"/>
  <c r="I108" i="1"/>
  <c r="G109" i="1"/>
  <c r="H109" i="1" s="1"/>
  <c r="E109" i="1"/>
  <c r="I109" i="1"/>
  <c r="G110" i="1"/>
  <c r="H110" i="1" s="1"/>
  <c r="E110" i="1"/>
  <c r="G111" i="1"/>
  <c r="H111" i="1" s="1"/>
  <c r="E111" i="1"/>
  <c r="G112" i="1"/>
  <c r="H112" i="1" s="1"/>
  <c r="E112" i="1"/>
  <c r="G113" i="1"/>
  <c r="H113" i="1" s="1"/>
  <c r="E113" i="1"/>
  <c r="I113" i="1" s="1"/>
  <c r="G114" i="1"/>
  <c r="H114" i="1" s="1"/>
  <c r="E114" i="1"/>
  <c r="I114" i="1"/>
  <c r="G115" i="1"/>
  <c r="H115" i="1" s="1"/>
  <c r="E115" i="1"/>
  <c r="I115" i="1"/>
  <c r="G116" i="1"/>
  <c r="H116" i="1" s="1"/>
  <c r="E116" i="1"/>
  <c r="G117" i="1"/>
  <c r="H117" i="1" s="1"/>
  <c r="E117" i="1"/>
  <c r="I117" i="1" s="1"/>
  <c r="G118" i="1"/>
  <c r="H118" i="1" s="1"/>
  <c r="E118" i="1"/>
  <c r="G119" i="1"/>
  <c r="H119" i="1" s="1"/>
  <c r="E119" i="1"/>
  <c r="G120" i="1"/>
  <c r="H120" i="1" s="1"/>
  <c r="E120" i="1"/>
  <c r="I120" i="1"/>
  <c r="G121" i="1"/>
  <c r="H121" i="1" s="1"/>
  <c r="E121" i="1"/>
  <c r="I121" i="1"/>
  <c r="G122" i="1"/>
  <c r="H122" i="1" s="1"/>
  <c r="E122" i="1"/>
  <c r="G123" i="1"/>
  <c r="H123" i="1" s="1"/>
  <c r="E123" i="1"/>
  <c r="I123" i="1" s="1"/>
  <c r="G124" i="1"/>
  <c r="H124" i="1" s="1"/>
  <c r="E124" i="1"/>
  <c r="I124" i="1"/>
  <c r="G125" i="1"/>
  <c r="H125" i="1" s="1"/>
  <c r="E125" i="1"/>
  <c r="I125" i="1"/>
  <c r="G126" i="1"/>
  <c r="H126" i="1" s="1"/>
  <c r="E126" i="1"/>
  <c r="G127" i="1"/>
  <c r="H127" i="1" s="1"/>
  <c r="E127" i="1"/>
  <c r="G128" i="1"/>
  <c r="H128" i="1" s="1"/>
  <c r="E128" i="1"/>
  <c r="G129" i="1"/>
  <c r="H129" i="1" s="1"/>
  <c r="E129" i="1"/>
  <c r="I129" i="1" s="1"/>
  <c r="G130" i="1"/>
  <c r="H130" i="1" s="1"/>
  <c r="E130" i="1"/>
  <c r="I130" i="1"/>
  <c r="G131" i="1"/>
  <c r="H131" i="1" s="1"/>
  <c r="E131" i="1"/>
  <c r="I131" i="1"/>
  <c r="G132" i="1"/>
  <c r="H132" i="1" s="1"/>
  <c r="E132" i="1"/>
  <c r="G133" i="1"/>
  <c r="H133" i="1" s="1"/>
  <c r="E133" i="1"/>
  <c r="I133" i="1" s="1"/>
  <c r="G134" i="1"/>
  <c r="H134" i="1" s="1"/>
  <c r="E134" i="1"/>
  <c r="G135" i="1"/>
  <c r="H135" i="1" s="1"/>
  <c r="E135" i="1"/>
  <c r="G136" i="1"/>
  <c r="H136" i="1" s="1"/>
  <c r="E136" i="1"/>
  <c r="I136" i="1"/>
  <c r="G137" i="1"/>
  <c r="H137" i="1" s="1"/>
  <c r="E137" i="1"/>
  <c r="I137" i="1"/>
  <c r="G138" i="1"/>
  <c r="H138" i="1" s="1"/>
  <c r="E138" i="1"/>
  <c r="G139" i="1"/>
  <c r="H139" i="1" s="1"/>
  <c r="E139" i="1"/>
  <c r="I139" i="1" s="1"/>
  <c r="G140" i="1"/>
  <c r="H140" i="1" s="1"/>
  <c r="E140" i="1"/>
  <c r="I140" i="1"/>
  <c r="G141" i="1"/>
  <c r="H141" i="1" s="1"/>
  <c r="E141" i="1"/>
  <c r="I141" i="1"/>
  <c r="G142" i="1"/>
  <c r="H142" i="1" s="1"/>
  <c r="E142" i="1"/>
  <c r="G143" i="1"/>
  <c r="H143" i="1" s="1"/>
  <c r="E143" i="1"/>
  <c r="G144" i="1"/>
  <c r="H144" i="1" s="1"/>
  <c r="E144" i="1"/>
  <c r="G145" i="1"/>
  <c r="H145" i="1" s="1"/>
  <c r="E145" i="1"/>
  <c r="I145" i="1" s="1"/>
  <c r="G146" i="1"/>
  <c r="H146" i="1" s="1"/>
  <c r="E146" i="1"/>
  <c r="I146" i="1"/>
  <c r="G147" i="1"/>
  <c r="H147" i="1" s="1"/>
  <c r="E147" i="1"/>
  <c r="I147" i="1"/>
  <c r="G148" i="1"/>
  <c r="H148" i="1" s="1"/>
  <c r="E148" i="1"/>
  <c r="G149" i="1"/>
  <c r="H149" i="1" s="1"/>
  <c r="E149" i="1"/>
  <c r="I149" i="1" s="1"/>
  <c r="G150" i="1"/>
  <c r="H150" i="1" s="1"/>
  <c r="E150" i="1"/>
  <c r="G151" i="1"/>
  <c r="H151" i="1" s="1"/>
  <c r="E151" i="1"/>
  <c r="G152" i="1"/>
  <c r="H152" i="1" s="1"/>
  <c r="E152" i="1"/>
  <c r="I152" i="1"/>
  <c r="G153" i="1"/>
  <c r="H153" i="1" s="1"/>
  <c r="E153" i="1"/>
  <c r="I153" i="1"/>
  <c r="G154" i="1"/>
  <c r="H154" i="1" s="1"/>
  <c r="E154" i="1"/>
  <c r="G155" i="1"/>
  <c r="H155" i="1" s="1"/>
  <c r="E155" i="1"/>
  <c r="I155" i="1" s="1"/>
  <c r="G156" i="1"/>
  <c r="H156" i="1" s="1"/>
  <c r="E156" i="1"/>
  <c r="I156" i="1"/>
  <c r="G157" i="1"/>
  <c r="H157" i="1" s="1"/>
  <c r="E157" i="1"/>
  <c r="I157" i="1"/>
  <c r="G158" i="1"/>
  <c r="H158" i="1" s="1"/>
  <c r="E158" i="1"/>
  <c r="G159" i="1"/>
  <c r="H159" i="1" s="1"/>
  <c r="E159" i="1"/>
  <c r="G160" i="1"/>
  <c r="H160" i="1" s="1"/>
  <c r="E160" i="1"/>
  <c r="G161" i="1"/>
  <c r="H161" i="1" s="1"/>
  <c r="E161" i="1"/>
  <c r="I161" i="1" s="1"/>
  <c r="G162" i="1"/>
  <c r="H162" i="1" s="1"/>
  <c r="E162" i="1"/>
  <c r="I162" i="1"/>
  <c r="G163" i="1"/>
  <c r="H163" i="1" s="1"/>
  <c r="E163" i="1"/>
  <c r="I163" i="1"/>
  <c r="G164" i="1"/>
  <c r="H164" i="1" s="1"/>
  <c r="E164" i="1"/>
  <c r="G165" i="1"/>
  <c r="H165" i="1" s="1"/>
  <c r="E165" i="1"/>
  <c r="I165" i="1" s="1"/>
  <c r="G166" i="1"/>
  <c r="H166" i="1" s="1"/>
  <c r="E166" i="1"/>
  <c r="G167" i="1"/>
  <c r="H167" i="1" s="1"/>
  <c r="E167" i="1"/>
  <c r="G168" i="1"/>
  <c r="H168" i="1" s="1"/>
  <c r="E168" i="1"/>
  <c r="I168" i="1"/>
  <c r="G169" i="1"/>
  <c r="H169" i="1" s="1"/>
  <c r="E169" i="1"/>
  <c r="I169" i="1"/>
  <c r="G170" i="1"/>
  <c r="H170" i="1" s="1"/>
  <c r="E170" i="1"/>
  <c r="G171" i="1"/>
  <c r="H171" i="1" s="1"/>
  <c r="E171" i="1"/>
  <c r="I171" i="1" s="1"/>
  <c r="G172" i="1"/>
  <c r="H172" i="1" s="1"/>
  <c r="E172" i="1"/>
  <c r="G173" i="1"/>
  <c r="H173" i="1" s="1"/>
  <c r="E173" i="1"/>
  <c r="G174" i="1"/>
  <c r="H174" i="1" s="1"/>
  <c r="E174" i="1"/>
  <c r="I174" i="1"/>
  <c r="G175" i="1"/>
  <c r="H175" i="1" s="1"/>
  <c r="E175" i="1"/>
  <c r="I175" i="1"/>
  <c r="G176" i="1"/>
  <c r="H176" i="1" s="1"/>
  <c r="E176" i="1"/>
  <c r="G177" i="1"/>
  <c r="H177" i="1" s="1"/>
  <c r="E177" i="1"/>
  <c r="G178" i="1"/>
  <c r="H178" i="1" s="1"/>
  <c r="E178" i="1"/>
  <c r="G179" i="1"/>
  <c r="H179" i="1" s="1"/>
  <c r="E179" i="1"/>
  <c r="I179" i="1" s="1"/>
  <c r="G180" i="1"/>
  <c r="H180" i="1" s="1"/>
  <c r="E180" i="1"/>
  <c r="G181" i="1"/>
  <c r="H181" i="1" s="1"/>
  <c r="E181" i="1"/>
  <c r="G182" i="1"/>
  <c r="H182" i="1" s="1"/>
  <c r="E182" i="1"/>
  <c r="I182" i="1"/>
  <c r="G183" i="1"/>
  <c r="H183" i="1" s="1"/>
  <c r="E183" i="1"/>
  <c r="I183" i="1"/>
  <c r="G184" i="1"/>
  <c r="H184" i="1" s="1"/>
  <c r="E184" i="1"/>
  <c r="G185" i="1"/>
  <c r="H185" i="1" s="1"/>
  <c r="E185" i="1"/>
  <c r="G186" i="1"/>
  <c r="H186" i="1" s="1"/>
  <c r="E186" i="1"/>
  <c r="G187" i="1"/>
  <c r="H187" i="1" s="1"/>
  <c r="E187" i="1"/>
  <c r="I187" i="1" s="1"/>
  <c r="G188" i="1"/>
  <c r="H188" i="1" s="1"/>
  <c r="E188" i="1"/>
  <c r="G189" i="1"/>
  <c r="H189" i="1" s="1"/>
  <c r="E189" i="1"/>
  <c r="G190" i="1"/>
  <c r="H190" i="1" s="1"/>
  <c r="E190" i="1"/>
  <c r="I190" i="1"/>
  <c r="G191" i="1"/>
  <c r="H191" i="1" s="1"/>
  <c r="E191" i="1"/>
  <c r="I191" i="1"/>
  <c r="G192" i="1"/>
  <c r="H192" i="1" s="1"/>
  <c r="E192" i="1"/>
  <c r="G193" i="1"/>
  <c r="H193" i="1" s="1"/>
  <c r="E193" i="1"/>
  <c r="G194" i="1"/>
  <c r="H194" i="1" s="1"/>
  <c r="E194" i="1"/>
  <c r="G195" i="1"/>
  <c r="H195" i="1" s="1"/>
  <c r="E195" i="1"/>
  <c r="I195" i="1" s="1"/>
  <c r="G196" i="1"/>
  <c r="H196" i="1" s="1"/>
  <c r="E196" i="1"/>
  <c r="G197" i="1"/>
  <c r="H197" i="1" s="1"/>
  <c r="E197" i="1"/>
  <c r="G198" i="1"/>
  <c r="H198" i="1" s="1"/>
  <c r="E198" i="1"/>
  <c r="I198" i="1"/>
  <c r="G199" i="1"/>
  <c r="H199" i="1" s="1"/>
  <c r="E199" i="1"/>
  <c r="I199" i="1"/>
  <c r="G200" i="1"/>
  <c r="H200" i="1" s="1"/>
  <c r="E200" i="1"/>
  <c r="G201" i="1"/>
  <c r="H201" i="1" s="1"/>
  <c r="E201" i="1"/>
  <c r="G202" i="1"/>
  <c r="H202" i="1" s="1"/>
  <c r="E202" i="1"/>
  <c r="G203" i="1"/>
  <c r="H203" i="1" s="1"/>
  <c r="E203" i="1"/>
  <c r="I203" i="1" s="1"/>
  <c r="G204" i="1"/>
  <c r="H204" i="1" s="1"/>
  <c r="E204" i="1"/>
  <c r="G205" i="1"/>
  <c r="H205" i="1" s="1"/>
  <c r="E205" i="1"/>
  <c r="G206" i="1"/>
  <c r="H206" i="1" s="1"/>
  <c r="E206" i="1"/>
  <c r="I206" i="1"/>
  <c r="G207" i="1"/>
  <c r="H207" i="1" s="1"/>
  <c r="E207" i="1"/>
  <c r="I207" i="1"/>
  <c r="G208" i="1"/>
  <c r="H208" i="1" s="1"/>
  <c r="E208" i="1"/>
  <c r="G209" i="1"/>
  <c r="H209" i="1" s="1"/>
  <c r="E209" i="1"/>
  <c r="G210" i="1"/>
  <c r="H210" i="1" s="1"/>
  <c r="E210" i="1"/>
  <c r="G211" i="1"/>
  <c r="H211" i="1" s="1"/>
  <c r="E211" i="1"/>
  <c r="I211" i="1" s="1"/>
  <c r="G212" i="1"/>
  <c r="H212" i="1" s="1"/>
  <c r="E212" i="1"/>
  <c r="G213" i="1"/>
  <c r="H213" i="1" s="1"/>
  <c r="E213" i="1"/>
  <c r="G214" i="1"/>
  <c r="H214" i="1" s="1"/>
  <c r="E214" i="1"/>
  <c r="I214" i="1"/>
  <c r="G215" i="1"/>
  <c r="H215" i="1" s="1"/>
  <c r="E215" i="1"/>
  <c r="I215" i="1"/>
  <c r="G216" i="1"/>
  <c r="H216" i="1" s="1"/>
  <c r="E216" i="1"/>
  <c r="G217" i="1"/>
  <c r="H217" i="1" s="1"/>
  <c r="E217" i="1"/>
  <c r="G218" i="1"/>
  <c r="H218" i="1" s="1"/>
  <c r="E218" i="1"/>
  <c r="G219" i="1"/>
  <c r="H219" i="1" s="1"/>
  <c r="E219" i="1"/>
  <c r="I219" i="1" s="1"/>
  <c r="G220" i="1"/>
  <c r="H220" i="1" s="1"/>
  <c r="E220" i="1"/>
  <c r="G221" i="1"/>
  <c r="H221" i="1" s="1"/>
  <c r="E221" i="1"/>
  <c r="G222" i="1"/>
  <c r="H222" i="1" s="1"/>
  <c r="E222" i="1"/>
  <c r="I222" i="1"/>
  <c r="G223" i="1"/>
  <c r="H223" i="1" s="1"/>
  <c r="E223" i="1"/>
  <c r="I223" i="1"/>
  <c r="G224" i="1"/>
  <c r="H224" i="1" s="1"/>
  <c r="E224" i="1"/>
  <c r="G225" i="1"/>
  <c r="H225" i="1" s="1"/>
  <c r="E225" i="1"/>
  <c r="G226" i="1"/>
  <c r="H226" i="1" s="1"/>
  <c r="E226" i="1"/>
  <c r="G227" i="1"/>
  <c r="H227" i="1" s="1"/>
  <c r="E227" i="1"/>
  <c r="I227" i="1" s="1"/>
  <c r="G228" i="1"/>
  <c r="H228" i="1" s="1"/>
  <c r="E228" i="1"/>
  <c r="G229" i="1"/>
  <c r="H229" i="1" s="1"/>
  <c r="E229" i="1"/>
  <c r="G230" i="1"/>
  <c r="H230" i="1" s="1"/>
  <c r="E230" i="1"/>
  <c r="I230" i="1"/>
  <c r="G231" i="1"/>
  <c r="H231" i="1" s="1"/>
  <c r="E231" i="1"/>
  <c r="I231" i="1"/>
  <c r="G232" i="1"/>
  <c r="H232" i="1" s="1"/>
  <c r="E232" i="1"/>
  <c r="G233" i="1"/>
  <c r="H233" i="1" s="1"/>
  <c r="E233" i="1"/>
  <c r="G234" i="1"/>
  <c r="H234" i="1" s="1"/>
  <c r="E234" i="1"/>
  <c r="G235" i="1"/>
  <c r="H235" i="1" s="1"/>
  <c r="E235" i="1"/>
  <c r="I235" i="1" s="1"/>
  <c r="G236" i="1"/>
  <c r="H236" i="1" s="1"/>
  <c r="E236" i="1"/>
  <c r="G237" i="1"/>
  <c r="H237" i="1" s="1"/>
  <c r="E237" i="1"/>
  <c r="G238" i="1"/>
  <c r="H238" i="1" s="1"/>
  <c r="E238" i="1"/>
  <c r="I238" i="1"/>
  <c r="G239" i="1"/>
  <c r="H239" i="1" s="1"/>
  <c r="E239" i="1"/>
  <c r="I239" i="1"/>
  <c r="G240" i="1"/>
  <c r="H240" i="1" s="1"/>
  <c r="E240" i="1"/>
  <c r="G241" i="1"/>
  <c r="H241" i="1" s="1"/>
  <c r="E241" i="1"/>
  <c r="G242" i="1"/>
  <c r="H242" i="1" s="1"/>
  <c r="E242" i="1"/>
  <c r="G243" i="1"/>
  <c r="H243" i="1" s="1"/>
  <c r="E243" i="1"/>
  <c r="I243" i="1" s="1"/>
  <c r="G244" i="1"/>
  <c r="H244" i="1" s="1"/>
  <c r="E244" i="1"/>
  <c r="G245" i="1"/>
  <c r="H245" i="1" s="1"/>
  <c r="E245" i="1"/>
  <c r="G246" i="1"/>
  <c r="H246" i="1" s="1"/>
  <c r="E246" i="1"/>
  <c r="I246" i="1"/>
  <c r="G247" i="1"/>
  <c r="H247" i="1" s="1"/>
  <c r="E247" i="1"/>
  <c r="I247" i="1"/>
  <c r="G248" i="1"/>
  <c r="H248" i="1" s="1"/>
  <c r="E248" i="1"/>
  <c r="G249" i="1"/>
  <c r="H249" i="1" s="1"/>
  <c r="E249" i="1"/>
  <c r="G250" i="1"/>
  <c r="H250" i="1" s="1"/>
  <c r="E250" i="1"/>
  <c r="G251" i="1"/>
  <c r="H251" i="1" s="1"/>
  <c r="E251" i="1"/>
  <c r="I251" i="1" s="1"/>
  <c r="G252" i="1"/>
  <c r="H252" i="1" s="1"/>
  <c r="E252" i="1"/>
  <c r="G253" i="1"/>
  <c r="H253" i="1" s="1"/>
  <c r="E253" i="1"/>
  <c r="G254" i="1"/>
  <c r="H254" i="1" s="1"/>
  <c r="E254" i="1"/>
  <c r="I254" i="1"/>
  <c r="G255" i="1"/>
  <c r="H255" i="1" s="1"/>
  <c r="E255" i="1"/>
  <c r="I255" i="1"/>
  <c r="G256" i="1"/>
  <c r="H256" i="1" s="1"/>
  <c r="E256" i="1"/>
  <c r="G257" i="1"/>
  <c r="H257" i="1" s="1"/>
  <c r="E257" i="1"/>
  <c r="G258" i="1"/>
  <c r="H258" i="1" s="1"/>
  <c r="E258" i="1"/>
  <c r="G259" i="1"/>
  <c r="H259" i="1" s="1"/>
  <c r="E259" i="1"/>
  <c r="I259" i="1" s="1"/>
  <c r="G260" i="1"/>
  <c r="H260" i="1" s="1"/>
  <c r="E260" i="1"/>
  <c r="G261" i="1"/>
  <c r="H261" i="1" s="1"/>
  <c r="E261" i="1"/>
  <c r="G262" i="1"/>
  <c r="H262" i="1" s="1"/>
  <c r="E262" i="1"/>
  <c r="I262" i="1"/>
  <c r="G263" i="1"/>
  <c r="H263" i="1" s="1"/>
  <c r="E263" i="1"/>
  <c r="I263" i="1"/>
  <c r="G264" i="1"/>
  <c r="H264" i="1" s="1"/>
  <c r="E264" i="1"/>
  <c r="G265" i="1"/>
  <c r="H265" i="1" s="1"/>
  <c r="E265" i="1"/>
  <c r="G266" i="1"/>
  <c r="H266" i="1" s="1"/>
  <c r="E266" i="1"/>
  <c r="G267" i="1"/>
  <c r="H267" i="1" s="1"/>
  <c r="E267" i="1"/>
  <c r="I267" i="1" s="1"/>
  <c r="G268" i="1"/>
  <c r="H268" i="1" s="1"/>
  <c r="E268" i="1"/>
  <c r="G269" i="1"/>
  <c r="H269" i="1" s="1"/>
  <c r="E269" i="1"/>
  <c r="G270" i="1"/>
  <c r="H270" i="1" s="1"/>
  <c r="E270" i="1"/>
  <c r="I270" i="1"/>
  <c r="G271" i="1"/>
  <c r="H271" i="1" s="1"/>
  <c r="E271" i="1"/>
  <c r="I271" i="1" s="1"/>
  <c r="G272" i="1"/>
  <c r="H272" i="1" s="1"/>
  <c r="E272" i="1"/>
  <c r="G273" i="1"/>
  <c r="H273" i="1" s="1"/>
  <c r="E273" i="1"/>
  <c r="G274" i="1"/>
  <c r="H274" i="1" s="1"/>
  <c r="E274" i="1"/>
  <c r="G275" i="1"/>
  <c r="H275" i="1" s="1"/>
  <c r="E275" i="1"/>
  <c r="I275" i="1" s="1"/>
  <c r="G276" i="1"/>
  <c r="H276" i="1" s="1"/>
  <c r="E276" i="1"/>
  <c r="G277" i="1"/>
  <c r="H277" i="1" s="1"/>
  <c r="E277" i="1"/>
  <c r="G278" i="1"/>
  <c r="H278" i="1" s="1"/>
  <c r="E278" i="1"/>
  <c r="I278" i="1"/>
  <c r="G279" i="1"/>
  <c r="H279" i="1" s="1"/>
  <c r="E279" i="1"/>
  <c r="I279" i="1" s="1"/>
  <c r="G280" i="1"/>
  <c r="H280" i="1" s="1"/>
  <c r="E280" i="1"/>
  <c r="G281" i="1"/>
  <c r="H281" i="1" s="1"/>
  <c r="E281" i="1"/>
  <c r="G282" i="1"/>
  <c r="H282" i="1" s="1"/>
  <c r="E282" i="1"/>
  <c r="G283" i="1"/>
  <c r="H283" i="1" s="1"/>
  <c r="E283" i="1"/>
  <c r="I283" i="1" s="1"/>
  <c r="G284" i="1"/>
  <c r="H284" i="1" s="1"/>
  <c r="E284" i="1"/>
  <c r="G285" i="1"/>
  <c r="H285" i="1" s="1"/>
  <c r="E285" i="1"/>
  <c r="G286" i="1"/>
  <c r="H286" i="1" s="1"/>
  <c r="E286" i="1"/>
  <c r="I286" i="1"/>
  <c r="G287" i="1"/>
  <c r="H287" i="1" s="1"/>
  <c r="E287" i="1"/>
  <c r="I287" i="1" s="1"/>
  <c r="G288" i="1"/>
  <c r="H288" i="1" s="1"/>
  <c r="E288" i="1"/>
  <c r="G289" i="1"/>
  <c r="H289" i="1" s="1"/>
  <c r="E289" i="1"/>
  <c r="G290" i="1"/>
  <c r="H290" i="1" s="1"/>
  <c r="E290" i="1"/>
  <c r="G291" i="1"/>
  <c r="H291" i="1" s="1"/>
  <c r="E291" i="1"/>
  <c r="I291" i="1" s="1"/>
  <c r="G292" i="1"/>
  <c r="H292" i="1" s="1"/>
  <c r="E292" i="1"/>
  <c r="G293" i="1"/>
  <c r="H293" i="1" s="1"/>
  <c r="E293" i="1"/>
  <c r="G294" i="1"/>
  <c r="H294" i="1" s="1"/>
  <c r="E294" i="1"/>
  <c r="I294" i="1"/>
  <c r="G295" i="1"/>
  <c r="H295" i="1" s="1"/>
  <c r="E295" i="1"/>
  <c r="I295" i="1" s="1"/>
  <c r="G296" i="1"/>
  <c r="H296" i="1" s="1"/>
  <c r="E296" i="1"/>
  <c r="G297" i="1"/>
  <c r="H297" i="1" s="1"/>
  <c r="E297" i="1"/>
  <c r="G298" i="1"/>
  <c r="H298" i="1" s="1"/>
  <c r="E298" i="1"/>
  <c r="G299" i="1"/>
  <c r="H299" i="1" s="1"/>
  <c r="E299" i="1"/>
  <c r="I299" i="1" s="1"/>
  <c r="G300" i="1"/>
  <c r="H300" i="1" s="1"/>
  <c r="E300" i="1"/>
  <c r="G301" i="1"/>
  <c r="H301" i="1" s="1"/>
  <c r="E301" i="1"/>
  <c r="G302" i="1"/>
  <c r="H302" i="1" s="1"/>
  <c r="E302" i="1"/>
  <c r="I302" i="1"/>
  <c r="G303" i="1"/>
  <c r="H303" i="1" s="1"/>
  <c r="E303" i="1"/>
  <c r="I303" i="1" s="1"/>
  <c r="G304" i="1"/>
  <c r="H304" i="1" s="1"/>
  <c r="E304" i="1"/>
  <c r="G305" i="1"/>
  <c r="H305" i="1" s="1"/>
  <c r="E305" i="1"/>
  <c r="G306" i="1"/>
  <c r="H306" i="1" s="1"/>
  <c r="E306" i="1"/>
  <c r="G307" i="1"/>
  <c r="H307" i="1" s="1"/>
  <c r="E307" i="1"/>
  <c r="I307" i="1" s="1"/>
  <c r="G308" i="1"/>
  <c r="H308" i="1" s="1"/>
  <c r="E308" i="1"/>
  <c r="G309" i="1"/>
  <c r="H309" i="1" s="1"/>
  <c r="E309" i="1"/>
  <c r="G310" i="1"/>
  <c r="H310" i="1" s="1"/>
  <c r="E310" i="1"/>
  <c r="I310" i="1"/>
  <c r="G311" i="1"/>
  <c r="H311" i="1" s="1"/>
  <c r="E311" i="1"/>
  <c r="I311" i="1" s="1"/>
  <c r="G312" i="1"/>
  <c r="E312" i="1"/>
  <c r="G313" i="1"/>
  <c r="H313" i="1" s="1"/>
  <c r="E313" i="1"/>
  <c r="G314" i="1"/>
  <c r="H314" i="1" s="1"/>
  <c r="E314" i="1"/>
  <c r="G315" i="1"/>
  <c r="E315" i="1"/>
  <c r="G316" i="1"/>
  <c r="H316" i="1" s="1"/>
  <c r="E316" i="1"/>
  <c r="G317" i="1"/>
  <c r="H317" i="1" s="1"/>
  <c r="E317" i="1"/>
  <c r="G318" i="1"/>
  <c r="E318" i="1"/>
  <c r="G319" i="1"/>
  <c r="E319" i="1"/>
  <c r="G320" i="1"/>
  <c r="H320" i="1" s="1"/>
  <c r="E320" i="1"/>
  <c r="G321" i="1"/>
  <c r="H321" i="1" s="1"/>
  <c r="E321" i="1"/>
  <c r="G322" i="1"/>
  <c r="E322" i="1"/>
  <c r="G323" i="1"/>
  <c r="E323" i="1"/>
  <c r="G324" i="1"/>
  <c r="E324" i="1"/>
  <c r="G325" i="1"/>
  <c r="E325" i="1"/>
  <c r="G326" i="1"/>
  <c r="E326" i="1"/>
  <c r="G327" i="1"/>
  <c r="H327" i="1" s="1"/>
  <c r="E327" i="1"/>
  <c r="I327" i="1"/>
  <c r="G328" i="1"/>
  <c r="H328" i="1" s="1"/>
  <c r="E328" i="1"/>
  <c r="I328" i="1" s="1"/>
  <c r="G329" i="1"/>
  <c r="H329" i="1" s="1"/>
  <c r="E329" i="1"/>
  <c r="G330" i="1"/>
  <c r="H330" i="1" s="1"/>
  <c r="E330" i="1"/>
  <c r="I330" i="1" s="1"/>
  <c r="G331" i="1"/>
  <c r="H331" i="1" s="1"/>
  <c r="E331" i="1"/>
  <c r="I331" i="1"/>
  <c r="G332" i="1"/>
  <c r="H332" i="1" s="1"/>
  <c r="E332" i="1"/>
  <c r="I332" i="1" s="1"/>
  <c r="G333" i="1"/>
  <c r="H333" i="1" s="1"/>
  <c r="E333" i="1"/>
  <c r="G334" i="1"/>
  <c r="H334" i="1" s="1"/>
  <c r="E334" i="1"/>
  <c r="I334" i="1" s="1"/>
  <c r="G335" i="1"/>
  <c r="H335" i="1" s="1"/>
  <c r="E335" i="1"/>
  <c r="I335" i="1"/>
  <c r="G336" i="1"/>
  <c r="H336" i="1" s="1"/>
  <c r="E336" i="1"/>
  <c r="I336" i="1" s="1"/>
  <c r="G337" i="1"/>
  <c r="H337" i="1" s="1"/>
  <c r="E337" i="1"/>
  <c r="G338" i="1"/>
  <c r="H338" i="1" s="1"/>
  <c r="E338" i="1"/>
  <c r="I338" i="1" s="1"/>
  <c r="G339" i="1"/>
  <c r="H339" i="1" s="1"/>
  <c r="E339" i="1"/>
  <c r="I339" i="1"/>
  <c r="G340" i="1"/>
  <c r="H340" i="1" s="1"/>
  <c r="E340" i="1"/>
  <c r="I340" i="1" s="1"/>
  <c r="G341" i="1"/>
  <c r="H341" i="1" s="1"/>
  <c r="E341" i="1"/>
  <c r="G342" i="1"/>
  <c r="H342" i="1" s="1"/>
  <c r="E342" i="1"/>
  <c r="I342" i="1" s="1"/>
  <c r="G343" i="1"/>
  <c r="H343" i="1" s="1"/>
  <c r="E343" i="1"/>
  <c r="I343" i="1"/>
  <c r="G344" i="1"/>
  <c r="H344" i="1" s="1"/>
  <c r="E344" i="1"/>
  <c r="I344" i="1" s="1"/>
  <c r="G345" i="1"/>
  <c r="H345" i="1" s="1"/>
  <c r="E345" i="1"/>
  <c r="G346" i="1"/>
  <c r="H346" i="1" s="1"/>
  <c r="E346" i="1"/>
  <c r="I346" i="1" s="1"/>
  <c r="G347" i="1"/>
  <c r="H347" i="1" s="1"/>
  <c r="E347" i="1"/>
  <c r="I347" i="1"/>
  <c r="G348" i="1"/>
  <c r="H348" i="1" s="1"/>
  <c r="E348" i="1"/>
  <c r="I348" i="1" s="1"/>
  <c r="G349" i="1"/>
  <c r="H349" i="1" s="1"/>
  <c r="E349" i="1"/>
  <c r="G350" i="1"/>
  <c r="H350" i="1" s="1"/>
  <c r="E350" i="1"/>
  <c r="I350" i="1" s="1"/>
  <c r="G351" i="1"/>
  <c r="H351" i="1" s="1"/>
  <c r="E351" i="1"/>
  <c r="I351" i="1"/>
  <c r="G352" i="1"/>
  <c r="H352" i="1" s="1"/>
  <c r="E352" i="1"/>
  <c r="I352" i="1" s="1"/>
  <c r="G353" i="1"/>
  <c r="H353" i="1" s="1"/>
  <c r="E353" i="1"/>
  <c r="G354" i="1"/>
  <c r="H354" i="1" s="1"/>
  <c r="E354" i="1"/>
  <c r="I354" i="1" s="1"/>
  <c r="G355" i="1"/>
  <c r="H355" i="1" s="1"/>
  <c r="E355" i="1"/>
  <c r="I355" i="1"/>
  <c r="G356" i="1"/>
  <c r="H356" i="1" s="1"/>
  <c r="E356" i="1"/>
  <c r="I356" i="1" s="1"/>
  <c r="G357" i="1"/>
  <c r="H357" i="1" s="1"/>
  <c r="E357" i="1"/>
  <c r="G358" i="1"/>
  <c r="H358" i="1" s="1"/>
  <c r="E358" i="1"/>
  <c r="I358" i="1" s="1"/>
  <c r="G359" i="1"/>
  <c r="H359" i="1" s="1"/>
  <c r="E359" i="1"/>
  <c r="I359" i="1"/>
  <c r="G360" i="1"/>
  <c r="H360" i="1" s="1"/>
  <c r="E360" i="1"/>
  <c r="I360" i="1" s="1"/>
  <c r="G361" i="1"/>
  <c r="H361" i="1" s="1"/>
  <c r="E361" i="1"/>
  <c r="G362" i="1"/>
  <c r="H362" i="1" s="1"/>
  <c r="E362" i="1"/>
  <c r="I362" i="1" s="1"/>
  <c r="G363" i="1"/>
  <c r="H363" i="1" s="1"/>
  <c r="E363" i="1"/>
  <c r="I363" i="1"/>
  <c r="G364" i="1"/>
  <c r="H364" i="1" s="1"/>
  <c r="E364" i="1"/>
  <c r="I364" i="1" s="1"/>
  <c r="G365" i="1"/>
  <c r="H365" i="1" s="1"/>
  <c r="E365" i="1"/>
  <c r="G366" i="1"/>
  <c r="H366" i="1" s="1"/>
  <c r="E366" i="1"/>
  <c r="I366" i="1" s="1"/>
  <c r="G367" i="1"/>
  <c r="H367" i="1" s="1"/>
  <c r="E367" i="1"/>
  <c r="I367" i="1"/>
  <c r="G368" i="1"/>
  <c r="H368" i="1" s="1"/>
  <c r="E368" i="1"/>
  <c r="I368" i="1" s="1"/>
  <c r="G369" i="1"/>
  <c r="H369" i="1" s="1"/>
  <c r="E369" i="1"/>
  <c r="G370" i="1"/>
  <c r="H370" i="1" s="1"/>
  <c r="E370" i="1"/>
  <c r="I370" i="1" s="1"/>
  <c r="G371" i="1"/>
  <c r="H371" i="1" s="1"/>
  <c r="E371" i="1"/>
  <c r="I371" i="1"/>
  <c r="G372" i="1"/>
  <c r="H372" i="1" s="1"/>
  <c r="E372" i="1"/>
  <c r="I372" i="1" s="1"/>
  <c r="G373" i="1"/>
  <c r="H373" i="1" s="1"/>
  <c r="E373" i="1"/>
  <c r="G374" i="1"/>
  <c r="H374" i="1" s="1"/>
  <c r="E374" i="1"/>
  <c r="I374" i="1" s="1"/>
  <c r="G375" i="1"/>
  <c r="H375" i="1" s="1"/>
  <c r="E375" i="1"/>
  <c r="I375" i="1"/>
  <c r="G376" i="1"/>
  <c r="H376" i="1" s="1"/>
  <c r="E376" i="1"/>
  <c r="I376" i="1" s="1"/>
  <c r="G377" i="1"/>
  <c r="H377" i="1" s="1"/>
  <c r="E377" i="1"/>
  <c r="G378" i="1"/>
  <c r="H378" i="1" s="1"/>
  <c r="E378" i="1"/>
  <c r="I378" i="1" s="1"/>
  <c r="G379" i="1"/>
  <c r="H379" i="1" s="1"/>
  <c r="E379" i="1"/>
  <c r="I379" i="1"/>
  <c r="G380" i="1"/>
  <c r="H380" i="1" s="1"/>
  <c r="E380" i="1"/>
  <c r="I380" i="1" s="1"/>
  <c r="G381" i="1"/>
  <c r="H381" i="1" s="1"/>
  <c r="E381" i="1"/>
  <c r="G382" i="1"/>
  <c r="H382" i="1" s="1"/>
  <c r="E382" i="1"/>
  <c r="I382" i="1" s="1"/>
  <c r="G383" i="1"/>
  <c r="H383" i="1" s="1"/>
  <c r="E383" i="1"/>
  <c r="I383" i="1"/>
  <c r="G384" i="1"/>
  <c r="H384" i="1" s="1"/>
  <c r="E384" i="1"/>
  <c r="I384" i="1" s="1"/>
  <c r="G385" i="1"/>
  <c r="H385" i="1" s="1"/>
  <c r="E385" i="1"/>
  <c r="G386" i="1"/>
  <c r="H386" i="1" s="1"/>
  <c r="E386" i="1"/>
  <c r="I386" i="1" s="1"/>
  <c r="G387" i="1"/>
  <c r="H387" i="1" s="1"/>
  <c r="E387" i="1"/>
  <c r="I387" i="1"/>
  <c r="G388" i="1"/>
  <c r="H388" i="1" s="1"/>
  <c r="E388" i="1"/>
  <c r="I388" i="1" s="1"/>
  <c r="G389" i="1"/>
  <c r="H389" i="1" s="1"/>
  <c r="E389" i="1"/>
  <c r="G390" i="1"/>
  <c r="H390" i="1" s="1"/>
  <c r="E390" i="1"/>
  <c r="I390" i="1" s="1"/>
  <c r="G391" i="1"/>
  <c r="H391" i="1" s="1"/>
  <c r="E391" i="1"/>
  <c r="I391" i="1"/>
  <c r="G392" i="1"/>
  <c r="H392" i="1" s="1"/>
  <c r="E392" i="1"/>
  <c r="I392" i="1" s="1"/>
  <c r="G393" i="1"/>
  <c r="H393" i="1" s="1"/>
  <c r="E393" i="1"/>
  <c r="G394" i="1"/>
  <c r="H394" i="1" s="1"/>
  <c r="E394" i="1"/>
  <c r="I394" i="1" s="1"/>
  <c r="G395" i="1"/>
  <c r="H395" i="1" s="1"/>
  <c r="E395" i="1"/>
  <c r="I395" i="1"/>
  <c r="G396" i="1"/>
  <c r="H396" i="1" s="1"/>
  <c r="E396" i="1"/>
  <c r="I396" i="1" s="1"/>
  <c r="G397" i="1"/>
  <c r="H397" i="1" s="1"/>
  <c r="E397" i="1"/>
  <c r="G398" i="1"/>
  <c r="H398" i="1" s="1"/>
  <c r="E398" i="1"/>
  <c r="I398" i="1" s="1"/>
  <c r="G399" i="1"/>
  <c r="H399" i="1" s="1"/>
  <c r="E399" i="1"/>
  <c r="I399" i="1"/>
  <c r="G400" i="1"/>
  <c r="H400" i="1" s="1"/>
  <c r="E400" i="1"/>
  <c r="I400" i="1" s="1"/>
  <c r="G401" i="1"/>
  <c r="H401" i="1" s="1"/>
  <c r="E401" i="1"/>
  <c r="G402" i="1"/>
  <c r="H402" i="1" s="1"/>
  <c r="E402" i="1"/>
  <c r="I402" i="1" s="1"/>
  <c r="G403" i="1"/>
  <c r="H403" i="1" s="1"/>
  <c r="E403" i="1"/>
  <c r="I403" i="1"/>
  <c r="G404" i="1"/>
  <c r="H404" i="1" s="1"/>
  <c r="E404" i="1"/>
  <c r="I404" i="1" s="1"/>
  <c r="G405" i="1"/>
  <c r="H405" i="1" s="1"/>
  <c r="E405" i="1"/>
  <c r="G406" i="1"/>
  <c r="H406" i="1" s="1"/>
  <c r="E406" i="1"/>
  <c r="I406" i="1" s="1"/>
  <c r="G407" i="1"/>
  <c r="H407" i="1" s="1"/>
  <c r="E407" i="1"/>
  <c r="I407" i="1"/>
  <c r="G408" i="1"/>
  <c r="H408" i="1" s="1"/>
  <c r="E408" i="1"/>
  <c r="I408" i="1" s="1"/>
  <c r="G409" i="1"/>
  <c r="H409" i="1" s="1"/>
  <c r="E409" i="1"/>
  <c r="G410" i="1"/>
  <c r="H410" i="1" s="1"/>
  <c r="E410" i="1"/>
  <c r="I410" i="1" s="1"/>
  <c r="G411" i="1"/>
  <c r="H411" i="1" s="1"/>
  <c r="E411" i="1"/>
  <c r="I411" i="1"/>
  <c r="G412" i="1"/>
  <c r="H412" i="1" s="1"/>
  <c r="E412" i="1"/>
  <c r="I412" i="1" s="1"/>
  <c r="G413" i="1"/>
  <c r="H413" i="1" s="1"/>
  <c r="E413" i="1"/>
  <c r="G414" i="1"/>
  <c r="H414" i="1" s="1"/>
  <c r="E414" i="1"/>
  <c r="I414" i="1" s="1"/>
  <c r="G415" i="1"/>
  <c r="H415" i="1" s="1"/>
  <c r="E415" i="1"/>
  <c r="I415" i="1"/>
  <c r="G416" i="1"/>
  <c r="H416" i="1" s="1"/>
  <c r="E416" i="1"/>
  <c r="I416" i="1" s="1"/>
  <c r="G417" i="1"/>
  <c r="H417" i="1" s="1"/>
  <c r="E417" i="1"/>
  <c r="G418" i="1"/>
  <c r="H418" i="1" s="1"/>
  <c r="E418" i="1"/>
  <c r="I418" i="1" s="1"/>
  <c r="G419" i="1"/>
  <c r="H419" i="1" s="1"/>
  <c r="E419" i="1"/>
  <c r="I419" i="1"/>
  <c r="G420" i="1"/>
  <c r="H420" i="1" s="1"/>
  <c r="E420" i="1"/>
  <c r="I420" i="1" s="1"/>
  <c r="G421" i="1"/>
  <c r="H421" i="1" s="1"/>
  <c r="E421" i="1"/>
  <c r="G422" i="1"/>
  <c r="H422" i="1" s="1"/>
  <c r="E422" i="1"/>
  <c r="I422" i="1" s="1"/>
  <c r="G423" i="1"/>
  <c r="H423" i="1" s="1"/>
  <c r="E423" i="1"/>
  <c r="I423" i="1"/>
  <c r="G424" i="1"/>
  <c r="H424" i="1" s="1"/>
  <c r="E424" i="1"/>
  <c r="I424" i="1" s="1"/>
  <c r="G425" i="1"/>
  <c r="H425" i="1" s="1"/>
  <c r="E425" i="1"/>
  <c r="G426" i="1"/>
  <c r="H426" i="1" s="1"/>
  <c r="E426" i="1"/>
  <c r="I426" i="1" s="1"/>
  <c r="G427" i="1"/>
  <c r="H427" i="1" s="1"/>
  <c r="E427" i="1"/>
  <c r="I427" i="1"/>
  <c r="G428" i="1"/>
  <c r="H428" i="1" s="1"/>
  <c r="E428" i="1"/>
  <c r="I428" i="1" s="1"/>
  <c r="G429" i="1"/>
  <c r="H429" i="1" s="1"/>
  <c r="E429" i="1"/>
  <c r="G430" i="1"/>
  <c r="H430" i="1" s="1"/>
  <c r="E430" i="1"/>
  <c r="I430" i="1" s="1"/>
  <c r="G431" i="1"/>
  <c r="H431" i="1" s="1"/>
  <c r="E431" i="1"/>
  <c r="I431" i="1"/>
  <c r="G432" i="1"/>
  <c r="H432" i="1" s="1"/>
  <c r="E432" i="1"/>
  <c r="I432" i="1" s="1"/>
  <c r="G433" i="1"/>
  <c r="H433" i="1" s="1"/>
  <c r="E433" i="1"/>
  <c r="G434" i="1"/>
  <c r="H434" i="1" s="1"/>
  <c r="E434" i="1"/>
  <c r="I434" i="1" s="1"/>
  <c r="G435" i="1"/>
  <c r="H435" i="1" s="1"/>
  <c r="E435" i="1"/>
  <c r="I435" i="1"/>
  <c r="G436" i="1"/>
  <c r="H436" i="1" s="1"/>
  <c r="E436" i="1"/>
  <c r="I436" i="1" s="1"/>
  <c r="G437" i="1"/>
  <c r="H437" i="1" s="1"/>
  <c r="E437" i="1"/>
  <c r="G438" i="1"/>
  <c r="H438" i="1" s="1"/>
  <c r="E438" i="1"/>
  <c r="I438" i="1" s="1"/>
  <c r="G439" i="1"/>
  <c r="H439" i="1" s="1"/>
  <c r="E439" i="1"/>
  <c r="I439" i="1"/>
  <c r="G440" i="1"/>
  <c r="H440" i="1" s="1"/>
  <c r="E440" i="1"/>
  <c r="I440" i="1" s="1"/>
  <c r="G441" i="1"/>
  <c r="H441" i="1" s="1"/>
  <c r="E441" i="1"/>
  <c r="G442" i="1"/>
  <c r="H442" i="1" s="1"/>
  <c r="E442" i="1"/>
  <c r="I442" i="1" s="1"/>
  <c r="G443" i="1"/>
  <c r="H443" i="1" s="1"/>
  <c r="E443" i="1"/>
  <c r="I443" i="1"/>
  <c r="G444" i="1"/>
  <c r="H444" i="1" s="1"/>
  <c r="E444" i="1"/>
  <c r="I444" i="1" s="1"/>
  <c r="G445" i="1"/>
  <c r="H445" i="1" s="1"/>
  <c r="E445" i="1"/>
  <c r="G446" i="1"/>
  <c r="H446" i="1" s="1"/>
  <c r="E446" i="1"/>
  <c r="I446" i="1" s="1"/>
  <c r="G447" i="1"/>
  <c r="H447" i="1" s="1"/>
  <c r="E447" i="1"/>
  <c r="I447" i="1"/>
  <c r="G448" i="1"/>
  <c r="H448" i="1" s="1"/>
  <c r="E448" i="1"/>
  <c r="I448" i="1" s="1"/>
  <c r="G449" i="1"/>
  <c r="H449" i="1" s="1"/>
  <c r="E449" i="1"/>
  <c r="G450" i="1"/>
  <c r="H450" i="1" s="1"/>
  <c r="E450" i="1"/>
  <c r="I450" i="1" s="1"/>
  <c r="G451" i="1"/>
  <c r="H451" i="1" s="1"/>
  <c r="E451" i="1"/>
  <c r="I451" i="1"/>
  <c r="G452" i="1"/>
  <c r="H452" i="1" s="1"/>
  <c r="E452" i="1"/>
  <c r="I452" i="1" s="1"/>
  <c r="G453" i="1"/>
  <c r="H453" i="1" s="1"/>
  <c r="E453" i="1"/>
  <c r="G454" i="1"/>
  <c r="H454" i="1" s="1"/>
  <c r="E454" i="1"/>
  <c r="I454" i="1" s="1"/>
  <c r="G455" i="1"/>
  <c r="H455" i="1" s="1"/>
  <c r="E455" i="1"/>
  <c r="I455" i="1"/>
  <c r="G456" i="1"/>
  <c r="H456" i="1" s="1"/>
  <c r="E456" i="1"/>
  <c r="I456" i="1" s="1"/>
  <c r="G457" i="1"/>
  <c r="H457" i="1" s="1"/>
  <c r="E457" i="1"/>
  <c r="G458" i="1"/>
  <c r="H458" i="1" s="1"/>
  <c r="E458" i="1"/>
  <c r="I458" i="1" s="1"/>
  <c r="G459" i="1"/>
  <c r="H459" i="1" s="1"/>
  <c r="E459" i="1"/>
  <c r="I459" i="1"/>
  <c r="G460" i="1"/>
  <c r="H460" i="1" s="1"/>
  <c r="E460" i="1"/>
  <c r="I460" i="1" s="1"/>
  <c r="G461" i="1"/>
  <c r="H461" i="1" s="1"/>
  <c r="E461" i="1"/>
  <c r="G462" i="1"/>
  <c r="H462" i="1" s="1"/>
  <c r="E462" i="1"/>
  <c r="I462" i="1" s="1"/>
  <c r="G463" i="1"/>
  <c r="H463" i="1" s="1"/>
  <c r="E463" i="1"/>
  <c r="I463" i="1"/>
  <c r="G464" i="1"/>
  <c r="H464" i="1" s="1"/>
  <c r="E464" i="1"/>
  <c r="I464" i="1" s="1"/>
  <c r="G465" i="1"/>
  <c r="H465" i="1" s="1"/>
  <c r="E465" i="1"/>
  <c r="G466" i="1"/>
  <c r="H466" i="1" s="1"/>
  <c r="E466" i="1"/>
  <c r="I466" i="1" s="1"/>
  <c r="G467" i="1"/>
  <c r="H467" i="1" s="1"/>
  <c r="E467" i="1"/>
  <c r="I467" i="1"/>
  <c r="G468" i="1"/>
  <c r="H468" i="1" s="1"/>
  <c r="E468" i="1"/>
  <c r="I468" i="1" s="1"/>
  <c r="G469" i="1"/>
  <c r="H469" i="1" s="1"/>
  <c r="E469" i="1"/>
  <c r="G470" i="1"/>
  <c r="H470" i="1" s="1"/>
  <c r="E470" i="1"/>
  <c r="I470" i="1" s="1"/>
  <c r="G471" i="1"/>
  <c r="H471" i="1" s="1"/>
  <c r="E471" i="1"/>
  <c r="I471" i="1"/>
  <c r="G472" i="1"/>
  <c r="H472" i="1" s="1"/>
  <c r="E472" i="1"/>
  <c r="I472" i="1" s="1"/>
  <c r="G473" i="1"/>
  <c r="H473" i="1" s="1"/>
  <c r="E473" i="1"/>
  <c r="G474" i="1"/>
  <c r="H474" i="1" s="1"/>
  <c r="E474" i="1"/>
  <c r="I474" i="1" s="1"/>
  <c r="G475" i="1"/>
  <c r="H475" i="1" s="1"/>
  <c r="E475" i="1"/>
  <c r="I475" i="1"/>
  <c r="G476" i="1"/>
  <c r="H476" i="1" s="1"/>
  <c r="E476" i="1"/>
  <c r="I476" i="1"/>
  <c r="G477" i="1"/>
  <c r="H477" i="1" s="1"/>
  <c r="E477" i="1"/>
  <c r="G478" i="1"/>
  <c r="H478" i="1" s="1"/>
  <c r="E478" i="1"/>
  <c r="I478" i="1" s="1"/>
  <c r="G479" i="1"/>
  <c r="H479" i="1" s="1"/>
  <c r="E479" i="1"/>
  <c r="I479" i="1"/>
  <c r="G480" i="1"/>
  <c r="H480" i="1" s="1"/>
  <c r="E480" i="1"/>
  <c r="I480" i="1"/>
  <c r="G481" i="1"/>
  <c r="H481" i="1" s="1"/>
  <c r="E481" i="1"/>
  <c r="G482" i="1"/>
  <c r="H482" i="1" s="1"/>
  <c r="E482" i="1"/>
  <c r="I482" i="1" s="1"/>
  <c r="G483" i="1"/>
  <c r="H483" i="1" s="1"/>
  <c r="E483" i="1"/>
  <c r="I483" i="1"/>
  <c r="G484" i="1"/>
  <c r="H484" i="1" s="1"/>
  <c r="E484" i="1"/>
  <c r="I484" i="1"/>
  <c r="G485" i="1"/>
  <c r="H485" i="1" s="1"/>
  <c r="E485" i="1"/>
  <c r="G486" i="1"/>
  <c r="H486" i="1" s="1"/>
  <c r="E486" i="1"/>
  <c r="I486" i="1" s="1"/>
  <c r="G487" i="1"/>
  <c r="H487" i="1" s="1"/>
  <c r="E487" i="1"/>
  <c r="I487" i="1"/>
  <c r="G488" i="1"/>
  <c r="H488" i="1" s="1"/>
  <c r="E488" i="1"/>
  <c r="I488" i="1"/>
  <c r="G489" i="1"/>
  <c r="H489" i="1" s="1"/>
  <c r="E489" i="1"/>
  <c r="G490" i="1"/>
  <c r="H490" i="1" s="1"/>
  <c r="E490" i="1"/>
  <c r="I490" i="1" s="1"/>
  <c r="G491" i="1"/>
  <c r="H491" i="1" s="1"/>
  <c r="E491" i="1"/>
  <c r="I491" i="1"/>
  <c r="G492" i="1"/>
  <c r="H492" i="1" s="1"/>
  <c r="E492" i="1"/>
  <c r="I492" i="1"/>
  <c r="G493" i="1"/>
  <c r="H493" i="1" s="1"/>
  <c r="E493" i="1"/>
  <c r="G494" i="1"/>
  <c r="H494" i="1" s="1"/>
  <c r="E494" i="1"/>
  <c r="I494" i="1" s="1"/>
  <c r="G495" i="1"/>
  <c r="H495" i="1" s="1"/>
  <c r="E495" i="1"/>
  <c r="I495" i="1"/>
  <c r="G496" i="1"/>
  <c r="H496" i="1" s="1"/>
  <c r="E496" i="1"/>
  <c r="I496" i="1"/>
  <c r="G497" i="1"/>
  <c r="H497" i="1" s="1"/>
  <c r="E497" i="1"/>
  <c r="G498" i="1"/>
  <c r="H498" i="1" s="1"/>
  <c r="E498" i="1"/>
  <c r="I498" i="1" s="1"/>
  <c r="G499" i="1"/>
  <c r="H499" i="1" s="1"/>
  <c r="E499" i="1"/>
  <c r="I499" i="1"/>
  <c r="G500" i="1"/>
  <c r="H500" i="1" s="1"/>
  <c r="E500" i="1"/>
  <c r="I500" i="1"/>
  <c r="G501" i="1"/>
  <c r="H501" i="1" s="1"/>
  <c r="E501" i="1"/>
  <c r="G502" i="1"/>
  <c r="H502" i="1" s="1"/>
  <c r="E502" i="1"/>
  <c r="I502" i="1" s="1"/>
  <c r="G503" i="1"/>
  <c r="H503" i="1" s="1"/>
  <c r="E503" i="1"/>
  <c r="I503" i="1"/>
  <c r="G504" i="1"/>
  <c r="H504" i="1" s="1"/>
  <c r="E504" i="1"/>
  <c r="I504" i="1"/>
  <c r="G505" i="1"/>
  <c r="H505" i="1" s="1"/>
  <c r="E505" i="1"/>
  <c r="G506" i="1"/>
  <c r="H506" i="1" s="1"/>
  <c r="E506" i="1"/>
  <c r="I506" i="1" s="1"/>
  <c r="G507" i="1"/>
  <c r="H507" i="1" s="1"/>
  <c r="E507" i="1"/>
  <c r="I507" i="1"/>
  <c r="G508" i="1"/>
  <c r="H508" i="1" s="1"/>
  <c r="E508" i="1"/>
  <c r="I508" i="1"/>
  <c r="G509" i="1"/>
  <c r="H509" i="1" s="1"/>
  <c r="E509" i="1"/>
  <c r="G510" i="1"/>
  <c r="H510" i="1" s="1"/>
  <c r="E510" i="1"/>
  <c r="I510" i="1" s="1"/>
  <c r="G511" i="1"/>
  <c r="H511" i="1" s="1"/>
  <c r="E511" i="1"/>
  <c r="I511" i="1"/>
  <c r="G512" i="1"/>
  <c r="H512" i="1" s="1"/>
  <c r="E512" i="1"/>
  <c r="I512" i="1"/>
  <c r="G513" i="1"/>
  <c r="H513" i="1" s="1"/>
  <c r="E513" i="1"/>
  <c r="G514" i="1"/>
  <c r="H514" i="1" s="1"/>
  <c r="E514" i="1"/>
  <c r="I514" i="1" s="1"/>
  <c r="G515" i="1"/>
  <c r="H515" i="1" s="1"/>
  <c r="E515" i="1"/>
  <c r="I515" i="1"/>
  <c r="G516" i="1"/>
  <c r="H516" i="1" s="1"/>
  <c r="E516" i="1"/>
  <c r="I516" i="1"/>
  <c r="G517" i="1"/>
  <c r="H517" i="1" s="1"/>
  <c r="E517" i="1"/>
  <c r="G518" i="1"/>
  <c r="H518" i="1" s="1"/>
  <c r="E518" i="1"/>
  <c r="I518" i="1" s="1"/>
  <c r="G519" i="1"/>
  <c r="H519" i="1" s="1"/>
  <c r="E519" i="1"/>
  <c r="I519" i="1"/>
  <c r="G520" i="1"/>
  <c r="H520" i="1" s="1"/>
  <c r="E520" i="1"/>
  <c r="I520" i="1"/>
  <c r="G521" i="1"/>
  <c r="H521" i="1" s="1"/>
  <c r="E521" i="1"/>
  <c r="G522" i="1"/>
  <c r="H522" i="1" s="1"/>
  <c r="E522" i="1"/>
  <c r="I522" i="1" s="1"/>
  <c r="G523" i="1"/>
  <c r="H523" i="1" s="1"/>
  <c r="E523" i="1"/>
  <c r="I523" i="1"/>
  <c r="G524" i="1"/>
  <c r="H524" i="1" s="1"/>
  <c r="E524" i="1"/>
  <c r="I524" i="1"/>
  <c r="G525" i="1"/>
  <c r="H525" i="1" s="1"/>
  <c r="E525" i="1"/>
  <c r="G526" i="1"/>
  <c r="H526" i="1" s="1"/>
  <c r="E526" i="1"/>
  <c r="I526" i="1" s="1"/>
  <c r="G527" i="1"/>
  <c r="H527" i="1" s="1"/>
  <c r="E527" i="1"/>
  <c r="I527" i="1"/>
  <c r="G528" i="1"/>
  <c r="H528" i="1" s="1"/>
  <c r="E528" i="1"/>
  <c r="I528" i="1"/>
  <c r="G529" i="1"/>
  <c r="H529" i="1" s="1"/>
  <c r="E529" i="1"/>
  <c r="G530" i="1"/>
  <c r="H530" i="1" s="1"/>
  <c r="E530" i="1"/>
  <c r="I530" i="1" s="1"/>
  <c r="G531" i="1"/>
  <c r="H531" i="1" s="1"/>
  <c r="E531" i="1"/>
  <c r="I531" i="1"/>
  <c r="G532" i="1"/>
  <c r="H532" i="1" s="1"/>
  <c r="E532" i="1"/>
  <c r="I532" i="1"/>
  <c r="G533" i="1"/>
  <c r="H533" i="1" s="1"/>
  <c r="E533" i="1"/>
  <c r="G534" i="1"/>
  <c r="H534" i="1" s="1"/>
  <c r="E534" i="1"/>
  <c r="I534" i="1" s="1"/>
  <c r="G535" i="1"/>
  <c r="H535" i="1" s="1"/>
  <c r="E535" i="1"/>
  <c r="I535" i="1"/>
  <c r="G536" i="1"/>
  <c r="H536" i="1" s="1"/>
  <c r="E536" i="1"/>
  <c r="I536" i="1"/>
  <c r="G537" i="1"/>
  <c r="H537" i="1" s="1"/>
  <c r="E537" i="1"/>
  <c r="G538" i="1"/>
  <c r="H538" i="1" s="1"/>
  <c r="E538" i="1"/>
  <c r="I538" i="1" s="1"/>
  <c r="G539" i="1"/>
  <c r="H539" i="1" s="1"/>
  <c r="E539" i="1"/>
  <c r="I539" i="1"/>
  <c r="G540" i="1"/>
  <c r="H540" i="1" s="1"/>
  <c r="E540" i="1"/>
  <c r="I540" i="1"/>
  <c r="G541" i="1"/>
  <c r="H541" i="1" s="1"/>
  <c r="E541" i="1"/>
  <c r="G542" i="1"/>
  <c r="H542" i="1" s="1"/>
  <c r="E542" i="1"/>
  <c r="I542" i="1" s="1"/>
  <c r="G543" i="1"/>
  <c r="H543" i="1" s="1"/>
  <c r="G544" i="1"/>
  <c r="H544" i="1" s="1"/>
  <c r="G2" i="1"/>
  <c r="H2" i="1" s="1"/>
  <c r="I614" i="1" l="1"/>
  <c r="I610" i="1"/>
  <c r="I606" i="1"/>
  <c r="I602" i="1"/>
  <c r="I598" i="1"/>
  <c r="I594" i="1"/>
  <c r="I611" i="1"/>
  <c r="I607" i="1"/>
  <c r="I603" i="1"/>
  <c r="I599" i="1"/>
  <c r="I595" i="1"/>
  <c r="H593" i="1"/>
  <c r="I543" i="1"/>
  <c r="I544" i="1"/>
  <c r="I324" i="1"/>
  <c r="H324" i="1"/>
  <c r="I318" i="1"/>
  <c r="H318" i="1"/>
  <c r="I312" i="1"/>
  <c r="H312" i="1"/>
  <c r="I7" i="1"/>
  <c r="I326" i="1"/>
  <c r="H326" i="1"/>
  <c r="I541" i="1"/>
  <c r="I533" i="1"/>
  <c r="I525" i="1"/>
  <c r="I517" i="1"/>
  <c r="I513" i="1"/>
  <c r="I505" i="1"/>
  <c r="I497" i="1"/>
  <c r="I485" i="1"/>
  <c r="I481" i="1"/>
  <c r="I469" i="1"/>
  <c r="I465" i="1"/>
  <c r="I461" i="1"/>
  <c r="I457" i="1"/>
  <c r="I453" i="1"/>
  <c r="I449" i="1"/>
  <c r="I445" i="1"/>
  <c r="I441" i="1"/>
  <c r="I437" i="1"/>
  <c r="I433" i="1"/>
  <c r="I429" i="1"/>
  <c r="I425" i="1"/>
  <c r="I421" i="1"/>
  <c r="I417" i="1"/>
  <c r="I413" i="1"/>
  <c r="I409" i="1"/>
  <c r="I405" i="1"/>
  <c r="I401" i="1"/>
  <c r="I397" i="1"/>
  <c r="I393" i="1"/>
  <c r="I389" i="1"/>
  <c r="I385" i="1"/>
  <c r="I381" i="1"/>
  <c r="I377" i="1"/>
  <c r="I373" i="1"/>
  <c r="I369" i="1"/>
  <c r="I365" i="1"/>
  <c r="I361" i="1"/>
  <c r="I357" i="1"/>
  <c r="I353" i="1"/>
  <c r="I349" i="1"/>
  <c r="I345" i="1"/>
  <c r="I341" i="1"/>
  <c r="I337" i="1"/>
  <c r="I333" i="1"/>
  <c r="I329" i="1"/>
  <c r="I325" i="1"/>
  <c r="H325" i="1"/>
  <c r="I323" i="1"/>
  <c r="H323" i="1"/>
  <c r="I319" i="1"/>
  <c r="H319" i="1"/>
  <c r="I315" i="1"/>
  <c r="H315" i="1"/>
  <c r="I306" i="1"/>
  <c r="I298" i="1"/>
  <c r="I290" i="1"/>
  <c r="I282" i="1"/>
  <c r="I274" i="1"/>
  <c r="I266" i="1"/>
  <c r="I258" i="1"/>
  <c r="I250" i="1"/>
  <c r="I242" i="1"/>
  <c r="I234" i="1"/>
  <c r="I226" i="1"/>
  <c r="I218" i="1"/>
  <c r="I210" i="1"/>
  <c r="I202" i="1"/>
  <c r="I194" i="1"/>
  <c r="I186" i="1"/>
  <c r="I178" i="1"/>
  <c r="I170" i="1"/>
  <c r="I164" i="1"/>
  <c r="I160" i="1"/>
  <c r="I154" i="1"/>
  <c r="I148" i="1"/>
  <c r="I144" i="1"/>
  <c r="I138" i="1"/>
  <c r="I132" i="1"/>
  <c r="I128" i="1"/>
  <c r="I122" i="1"/>
  <c r="I116" i="1"/>
  <c r="I112" i="1"/>
  <c r="I106" i="1"/>
  <c r="I100" i="1"/>
  <c r="I96" i="1"/>
  <c r="I92" i="1"/>
  <c r="I88" i="1"/>
  <c r="I84" i="1"/>
  <c r="I80" i="1"/>
  <c r="I76" i="1"/>
  <c r="I72" i="1"/>
  <c r="I68" i="1"/>
  <c r="I64" i="1"/>
  <c r="I60" i="1"/>
  <c r="I56" i="1"/>
  <c r="I52" i="1"/>
  <c r="I48" i="1"/>
  <c r="I322" i="1"/>
  <c r="H322" i="1"/>
  <c r="I537" i="1"/>
  <c r="I529" i="1"/>
  <c r="I521" i="1"/>
  <c r="I509" i="1"/>
  <c r="I501" i="1"/>
  <c r="I493" i="1"/>
  <c r="I489" i="1"/>
  <c r="I477" i="1"/>
  <c r="I473" i="1"/>
  <c r="I2" i="1"/>
  <c r="I321" i="1"/>
  <c r="I316" i="1"/>
  <c r="I309" i="1"/>
  <c r="I305" i="1"/>
  <c r="I301" i="1"/>
  <c r="I297" i="1"/>
  <c r="I293" i="1"/>
  <c r="I289" i="1"/>
  <c r="I285" i="1"/>
  <c r="I281" i="1"/>
  <c r="I277" i="1"/>
  <c r="I273" i="1"/>
  <c r="I269" i="1"/>
  <c r="I265" i="1"/>
  <c r="I261" i="1"/>
  <c r="I257" i="1"/>
  <c r="I253" i="1"/>
  <c r="I249" i="1"/>
  <c r="I245" i="1"/>
  <c r="I241" i="1"/>
  <c r="I237" i="1"/>
  <c r="I233" i="1"/>
  <c r="I229" i="1"/>
  <c r="I225" i="1"/>
  <c r="I221" i="1"/>
  <c r="I217" i="1"/>
  <c r="I213" i="1"/>
  <c r="I209" i="1"/>
  <c r="I205" i="1"/>
  <c r="I201" i="1"/>
  <c r="I197" i="1"/>
  <c r="I193" i="1"/>
  <c r="I189" i="1"/>
  <c r="I185" i="1"/>
  <c r="I181" i="1"/>
  <c r="I177" i="1"/>
  <c r="I173" i="1"/>
  <c r="I166" i="1"/>
  <c r="I150" i="1"/>
  <c r="I134" i="1"/>
  <c r="I118" i="1"/>
  <c r="I102" i="1"/>
  <c r="I314" i="1"/>
  <c r="I320" i="1"/>
  <c r="I317" i="1"/>
  <c r="I308" i="1"/>
  <c r="I304" i="1"/>
  <c r="I300" i="1"/>
  <c r="I296" i="1"/>
  <c r="I292" i="1"/>
  <c r="I288" i="1"/>
  <c r="I284" i="1"/>
  <c r="I280" i="1"/>
  <c r="I276" i="1"/>
  <c r="I272" i="1"/>
  <c r="I268" i="1"/>
  <c r="I264" i="1"/>
  <c r="I260" i="1"/>
  <c r="I256" i="1"/>
  <c r="I252" i="1"/>
  <c r="I248" i="1"/>
  <c r="I244" i="1"/>
  <c r="I240" i="1"/>
  <c r="I236" i="1"/>
  <c r="I232" i="1"/>
  <c r="I228" i="1"/>
  <c r="I224" i="1"/>
  <c r="I220" i="1"/>
  <c r="I216" i="1"/>
  <c r="I212" i="1"/>
  <c r="I208" i="1"/>
  <c r="I204" i="1"/>
  <c r="I200" i="1"/>
  <c r="I196" i="1"/>
  <c r="I192" i="1"/>
  <c r="I188" i="1"/>
  <c r="I184" i="1"/>
  <c r="I180" i="1"/>
  <c r="I176" i="1"/>
  <c r="I172" i="1"/>
  <c r="I158" i="1"/>
  <c r="I142" i="1"/>
  <c r="I126" i="1"/>
  <c r="I110" i="1"/>
  <c r="I313" i="1"/>
  <c r="I167" i="1"/>
  <c r="I159" i="1"/>
  <c r="I151" i="1"/>
  <c r="I143" i="1"/>
  <c r="I135" i="1"/>
  <c r="I127" i="1"/>
  <c r="I119" i="1"/>
  <c r="I111" i="1"/>
  <c r="I103" i="1"/>
</calcChain>
</file>

<file path=xl/sharedStrings.xml><?xml version="1.0" encoding="utf-8"?>
<sst xmlns="http://schemas.openxmlformats.org/spreadsheetml/2006/main" count="9" uniqueCount="9">
  <si>
    <t>Date</t>
  </si>
  <si>
    <t>Colcap</t>
  </si>
  <si>
    <t>TES 5y (anual)</t>
  </si>
  <si>
    <t>TES 5y (semanal)</t>
  </si>
  <si>
    <r>
      <t>r</t>
    </r>
    <r>
      <rPr>
        <vertAlign val="subscript"/>
        <sz val="11"/>
        <color theme="1"/>
        <rFont val="Calibri"/>
        <family val="2"/>
        <scheme val="minor"/>
      </rPr>
      <t>COLCAP</t>
    </r>
    <r>
      <rPr>
        <sz val="11"/>
        <color theme="1"/>
        <rFont val="Calibri"/>
        <family val="2"/>
        <scheme val="minor"/>
      </rPr>
      <t xml:space="preserve"> - r</t>
    </r>
    <r>
      <rPr>
        <vertAlign val="subscript"/>
        <sz val="11"/>
        <color theme="1"/>
        <rFont val="Calibri"/>
        <family val="2"/>
        <scheme val="minor"/>
      </rPr>
      <t>f</t>
    </r>
  </si>
  <si>
    <t>Ecopetrol</t>
  </si>
  <si>
    <r>
      <t>r</t>
    </r>
    <r>
      <rPr>
        <vertAlign val="subscript"/>
        <sz val="11"/>
        <color theme="1"/>
        <rFont val="Calibri"/>
        <family val="2"/>
        <scheme val="minor"/>
      </rPr>
      <t>ECOP</t>
    </r>
    <r>
      <rPr>
        <sz val="11"/>
        <color theme="1"/>
        <rFont val="Calibri"/>
        <family val="2"/>
        <scheme val="minor"/>
      </rPr>
      <t xml:space="preserve"> - r</t>
    </r>
    <r>
      <rPr>
        <vertAlign val="subscript"/>
        <sz val="11"/>
        <color theme="1"/>
        <rFont val="Calibri"/>
        <family val="2"/>
        <scheme val="minor"/>
      </rPr>
      <t>f</t>
    </r>
  </si>
  <si>
    <t>Retorno Ecopetrol</t>
  </si>
  <si>
    <t>Retorno Colcap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</si>
</sst>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5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33" borderId="0" xfId="0" applyFill="1" applyAlignment="1">
      <alignment horizontal="center" vertical="center"/>
    </xf>
    <xf numFmtId="10" fontId="0" fillId="33" borderId="0" xfId="0" applyNumberFormat="1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10" fontId="0" fillId="34" borderId="0" xfId="0" applyNumberFormat="1" applyFill="1" applyAlignment="1">
      <alignment horizontal="center" vertical="center"/>
    </xf>
    <xf numFmtId="4" fontId="0" fillId="0" borderId="0" xfId="0" applyNumberFormat="1"/>
    <xf numFmtId="0" fontId="0" fillId="0" borderId="0" xfId="0" applyFill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1" defaultTableStyle="TableStyleMedium2" defaultPivotStyle="PivotStyleLight16">
    <tableStyle name="Invisible" pivot="0" table="0" count="0" xr9:uid="{20492A38-2E22-4A7C-BC2E-3B4F6B2653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3"/>
  <sheetViews>
    <sheetView tabSelected="1" zoomScaleNormal="100" workbookViewId="0">
      <pane xSplit="1" ySplit="1" topLeftCell="B808" activePane="bottomRight" state="frozen"/>
      <selection pane="topRight" activeCell="B1" sqref="B1"/>
      <selection pane="bottomLeft" activeCell="A2" sqref="A2"/>
      <selection pane="bottomRight" activeCell="F827" sqref="F827"/>
    </sheetView>
  </sheetViews>
  <sheetFormatPr defaultColWidth="10.88671875" defaultRowHeight="14.4" x14ac:dyDescent="0.3"/>
  <cols>
    <col min="2" max="2" width="10.88671875" style="4"/>
    <col min="3" max="3" width="16" style="2" bestFit="1" customWidth="1"/>
    <col min="4" max="4" width="10.88671875" style="4"/>
    <col min="5" max="5" width="13.6640625" style="4" bestFit="1" customWidth="1"/>
    <col min="6" max="6" width="12.44140625" style="4" bestFit="1" customWidth="1"/>
    <col min="7" max="7" width="14.77734375" style="4" bestFit="1" customWidth="1"/>
    <col min="8" max="9" width="10.88671875" style="13"/>
  </cols>
  <sheetData>
    <row r="1" spans="1:9" ht="15.6" x14ac:dyDescent="0.3">
      <c r="A1" t="s">
        <v>0</v>
      </c>
      <c r="B1" s="4" t="s">
        <v>5</v>
      </c>
      <c r="C1" s="2" t="s">
        <v>7</v>
      </c>
      <c r="D1" s="4" t="s">
        <v>1</v>
      </c>
      <c r="E1" s="4" t="s">
        <v>8</v>
      </c>
      <c r="F1" s="4" t="s">
        <v>2</v>
      </c>
      <c r="G1" s="4" t="s">
        <v>3</v>
      </c>
      <c r="H1" s="8" t="s">
        <v>6</v>
      </c>
      <c r="I1" s="10" t="s">
        <v>4</v>
      </c>
    </row>
    <row r="2" spans="1:9" x14ac:dyDescent="0.3">
      <c r="A2" s="1">
        <v>40272</v>
      </c>
      <c r="B2" s="5">
        <v>2725</v>
      </c>
      <c r="C2" s="3">
        <v>9.2999999999999992E-3</v>
      </c>
      <c r="D2" s="5">
        <v>1468.95</v>
      </c>
      <c r="E2" s="6">
        <v>1.9699999999999999E-2</v>
      </c>
      <c r="F2" s="7">
        <v>7.3380000000000001E-2</v>
      </c>
      <c r="G2" s="7">
        <f>(1+F2)^(1/52)-1</f>
        <v>1.3627074162616548E-3</v>
      </c>
      <c r="H2" s="9">
        <f>C2-G2</f>
        <v>7.9372925837383444E-3</v>
      </c>
      <c r="I2" s="11">
        <f>E2-G2</f>
        <v>1.8337292583738344E-2</v>
      </c>
    </row>
    <row r="3" spans="1:9" x14ac:dyDescent="0.3">
      <c r="A3" s="1">
        <v>40279</v>
      </c>
      <c r="B3" s="5">
        <v>2690</v>
      </c>
      <c r="C3" s="3">
        <v>-1.2800000000000001E-2</v>
      </c>
      <c r="D3" s="5">
        <v>1463.27</v>
      </c>
      <c r="E3" s="6">
        <f>D3/D2-1</f>
        <v>-3.8667075121685546E-3</v>
      </c>
      <c r="F3" s="7">
        <v>7.324E-2</v>
      </c>
      <c r="G3" s="7">
        <f t="shared" ref="G3:G66" si="0">(1+F3)^(1/52)-1</f>
        <v>1.3601955854369852E-3</v>
      </c>
      <c r="H3" s="9">
        <f t="shared" ref="H3:H66" si="1">C3-G3</f>
        <v>-1.4160195585436986E-2</v>
      </c>
      <c r="I3" s="11">
        <f t="shared" ref="I3:I66" si="2">E3-G3</f>
        <v>-5.2269030976055397E-3</v>
      </c>
    </row>
    <row r="4" spans="1:9" x14ac:dyDescent="0.3">
      <c r="A4" s="1">
        <v>40286</v>
      </c>
      <c r="B4" s="5">
        <v>2780</v>
      </c>
      <c r="C4" s="3">
        <v>3.3500000000000002E-2</v>
      </c>
      <c r="D4" s="5">
        <v>1488.05</v>
      </c>
      <c r="E4" s="6">
        <f t="shared" ref="E4:E67" si="3">D4/D3-1</f>
        <v>1.6934673710251591E-2</v>
      </c>
      <c r="F4" s="7">
        <v>7.324E-2</v>
      </c>
      <c r="G4" s="7">
        <f t="shared" si="0"/>
        <v>1.3601955854369852E-3</v>
      </c>
      <c r="H4" s="9">
        <f t="shared" si="1"/>
        <v>3.2139804414563017E-2</v>
      </c>
      <c r="I4" s="11">
        <f t="shared" si="2"/>
        <v>1.5574478124814606E-2</v>
      </c>
    </row>
    <row r="5" spans="1:9" x14ac:dyDescent="0.3">
      <c r="A5" s="1">
        <v>40293</v>
      </c>
      <c r="B5" s="5">
        <v>2765</v>
      </c>
      <c r="C5" s="3">
        <v>-5.4000000000000003E-3</v>
      </c>
      <c r="D5" s="5">
        <v>1467.26</v>
      </c>
      <c r="E5" s="6">
        <f t="shared" si="3"/>
        <v>-1.3971304727663725E-2</v>
      </c>
      <c r="F5" s="7">
        <v>7.3689999999999992E-2</v>
      </c>
      <c r="G5" s="7">
        <f t="shared" si="0"/>
        <v>1.3682681841091782E-3</v>
      </c>
      <c r="H5" s="9">
        <f t="shared" si="1"/>
        <v>-6.7682681841091785E-3</v>
      </c>
      <c r="I5" s="11">
        <f t="shared" si="2"/>
        <v>-1.5339572911772903E-2</v>
      </c>
    </row>
    <row r="6" spans="1:9" x14ac:dyDescent="0.3">
      <c r="A6" s="1">
        <v>40300</v>
      </c>
      <c r="B6" s="5">
        <v>2670</v>
      </c>
      <c r="C6" s="3">
        <v>-3.44E-2</v>
      </c>
      <c r="D6" s="5">
        <v>1412.8</v>
      </c>
      <c r="E6" s="6">
        <f t="shared" si="3"/>
        <v>-3.7116802747979238E-2</v>
      </c>
      <c r="F6" s="7">
        <v>7.1650000000000005E-2</v>
      </c>
      <c r="G6" s="7">
        <f t="shared" si="0"/>
        <v>1.3316457923970848E-3</v>
      </c>
      <c r="H6" s="9">
        <f t="shared" si="1"/>
        <v>-3.5731645792397085E-2</v>
      </c>
      <c r="I6" s="11">
        <f t="shared" si="2"/>
        <v>-3.8448448540376323E-2</v>
      </c>
    </row>
    <row r="7" spans="1:9" x14ac:dyDescent="0.3">
      <c r="A7" s="1">
        <v>40307</v>
      </c>
      <c r="B7" s="5">
        <v>2740</v>
      </c>
      <c r="C7" s="3">
        <v>2.6200000000000001E-2</v>
      </c>
      <c r="D7" s="5">
        <v>1444.27</v>
      </c>
      <c r="E7" s="6">
        <f t="shared" si="3"/>
        <v>2.2274915062287626E-2</v>
      </c>
      <c r="F7" s="7">
        <v>7.1809999999999999E-2</v>
      </c>
      <c r="G7" s="7">
        <f t="shared" si="0"/>
        <v>1.3345206068346993E-3</v>
      </c>
      <c r="H7" s="9">
        <f t="shared" si="1"/>
        <v>2.4865479393165302E-2</v>
      </c>
      <c r="I7" s="11">
        <f t="shared" si="2"/>
        <v>2.0940394455452926E-2</v>
      </c>
    </row>
    <row r="8" spans="1:9" x14ac:dyDescent="0.3">
      <c r="A8" s="1">
        <v>40314</v>
      </c>
      <c r="B8" s="5">
        <v>2630</v>
      </c>
      <c r="C8" s="3">
        <v>-4.0099999999999997E-2</v>
      </c>
      <c r="D8" s="5">
        <v>1397.39</v>
      </c>
      <c r="E8" s="6">
        <f t="shared" si="3"/>
        <v>-3.2459304700644509E-2</v>
      </c>
      <c r="F8" s="7">
        <v>7.1510000000000004E-2</v>
      </c>
      <c r="G8" s="7">
        <f t="shared" si="0"/>
        <v>1.3291299844222504E-3</v>
      </c>
      <c r="H8" s="9">
        <f t="shared" si="1"/>
        <v>-4.1429129984422247E-2</v>
      </c>
      <c r="I8" s="11">
        <f t="shared" si="2"/>
        <v>-3.3788434685066759E-2</v>
      </c>
    </row>
    <row r="9" spans="1:9" x14ac:dyDescent="0.3">
      <c r="A9" s="1">
        <v>40321</v>
      </c>
      <c r="B9" s="5">
        <v>2710</v>
      </c>
      <c r="C9" s="3">
        <v>3.04E-2</v>
      </c>
      <c r="D9" s="5">
        <v>1446.48</v>
      </c>
      <c r="E9" s="6">
        <f t="shared" si="3"/>
        <v>3.5129777656917494E-2</v>
      </c>
      <c r="F9" s="7">
        <v>7.1040000000000006E-2</v>
      </c>
      <c r="G9" s="7">
        <f t="shared" si="0"/>
        <v>1.3206816991602199E-3</v>
      </c>
      <c r="H9" s="9">
        <f t="shared" si="1"/>
        <v>2.907931830083978E-2</v>
      </c>
      <c r="I9" s="11">
        <f t="shared" si="2"/>
        <v>3.3809095957757274E-2</v>
      </c>
    </row>
    <row r="10" spans="1:9" x14ac:dyDescent="0.3">
      <c r="A10" s="1">
        <v>40328</v>
      </c>
      <c r="B10" s="5">
        <v>2690</v>
      </c>
      <c r="C10" s="3">
        <v>-7.4000000000000003E-3</v>
      </c>
      <c r="D10" s="5">
        <v>1438.3</v>
      </c>
      <c r="E10" s="6">
        <f t="shared" si="3"/>
        <v>-5.6551075714839083E-3</v>
      </c>
      <c r="F10" s="7">
        <v>6.9309999999999997E-2</v>
      </c>
      <c r="G10" s="7">
        <f t="shared" si="0"/>
        <v>1.2895534647321405E-3</v>
      </c>
      <c r="H10" s="9">
        <f t="shared" si="1"/>
        <v>-8.6895534647321408E-3</v>
      </c>
      <c r="I10" s="11">
        <f t="shared" si="2"/>
        <v>-6.9446610362160488E-3</v>
      </c>
    </row>
    <row r="11" spans="1:9" x14ac:dyDescent="0.3">
      <c r="A11" s="1">
        <v>40335</v>
      </c>
      <c r="B11" s="5">
        <v>2710</v>
      </c>
      <c r="C11" s="3">
        <v>7.4000000000000003E-3</v>
      </c>
      <c r="D11" s="5">
        <v>1448.08</v>
      </c>
      <c r="E11" s="6">
        <f t="shared" si="3"/>
        <v>6.7996940832928399E-3</v>
      </c>
      <c r="F11" s="7">
        <v>6.9010000000000002E-2</v>
      </c>
      <c r="G11" s="7">
        <f t="shared" si="0"/>
        <v>1.2841504801899273E-3</v>
      </c>
      <c r="H11" s="9">
        <f t="shared" si="1"/>
        <v>6.115849519810073E-3</v>
      </c>
      <c r="I11" s="11">
        <f t="shared" si="2"/>
        <v>5.5155436031029126E-3</v>
      </c>
    </row>
    <row r="12" spans="1:9" x14ac:dyDescent="0.3">
      <c r="A12" s="1">
        <v>40342</v>
      </c>
      <c r="B12" s="5">
        <v>2765</v>
      </c>
      <c r="C12" s="3">
        <v>2.0299999999999999E-2</v>
      </c>
      <c r="D12" s="5">
        <v>1472.41</v>
      </c>
      <c r="E12" s="6">
        <f t="shared" si="3"/>
        <v>1.6801557924976729E-2</v>
      </c>
      <c r="F12" s="7">
        <v>6.924000000000001E-2</v>
      </c>
      <c r="G12" s="7">
        <f t="shared" si="0"/>
        <v>1.2882929013264821E-3</v>
      </c>
      <c r="H12" s="9">
        <f t="shared" si="1"/>
        <v>1.9011707098673516E-2</v>
      </c>
      <c r="I12" s="11">
        <f t="shared" si="2"/>
        <v>1.5513265023650247E-2</v>
      </c>
    </row>
    <row r="13" spans="1:9" x14ac:dyDescent="0.3">
      <c r="A13" s="1">
        <v>40349</v>
      </c>
      <c r="B13" s="5">
        <v>2775</v>
      </c>
      <c r="C13" s="3">
        <v>3.5999999999999999E-3</v>
      </c>
      <c r="D13" s="5">
        <v>1475.04</v>
      </c>
      <c r="E13" s="6">
        <f t="shared" si="3"/>
        <v>1.7861872712083837E-3</v>
      </c>
      <c r="F13" s="7">
        <v>6.9059999999999996E-2</v>
      </c>
      <c r="G13" s="7">
        <f t="shared" si="0"/>
        <v>1.2850510808763982E-3</v>
      </c>
      <c r="H13" s="9">
        <f t="shared" si="1"/>
        <v>2.3149489191236017E-3</v>
      </c>
      <c r="I13" s="11">
        <f t="shared" si="2"/>
        <v>5.0113619033198553E-4</v>
      </c>
    </row>
    <row r="14" spans="1:9" x14ac:dyDescent="0.3">
      <c r="A14" s="1">
        <v>40356</v>
      </c>
      <c r="B14" s="5">
        <v>2725</v>
      </c>
      <c r="C14" s="3">
        <v>-1.7999999999999999E-2</v>
      </c>
      <c r="D14" s="5">
        <v>1455.04</v>
      </c>
      <c r="E14" s="6">
        <f t="shared" si="3"/>
        <v>-1.3558954333441786E-2</v>
      </c>
      <c r="F14" s="7">
        <v>7.3669999999999999E-2</v>
      </c>
      <c r="G14" s="7">
        <f t="shared" si="0"/>
        <v>1.3679094724141638E-3</v>
      </c>
      <c r="H14" s="9">
        <f t="shared" si="1"/>
        <v>-1.9367909472414162E-2</v>
      </c>
      <c r="I14" s="11">
        <f t="shared" si="2"/>
        <v>-1.492686380585595E-2</v>
      </c>
    </row>
    <row r="15" spans="1:9" x14ac:dyDescent="0.3">
      <c r="A15" s="1">
        <v>40363</v>
      </c>
      <c r="B15" s="5">
        <v>2825</v>
      </c>
      <c r="C15" s="3">
        <v>3.6700000000000003E-2</v>
      </c>
      <c r="D15" s="5">
        <v>1478.49</v>
      </c>
      <c r="E15" s="6">
        <f t="shared" si="3"/>
        <v>1.611639542555543E-2</v>
      </c>
      <c r="F15" s="7">
        <v>7.4630000000000002E-2</v>
      </c>
      <c r="G15" s="7">
        <f t="shared" si="0"/>
        <v>1.3851202458383671E-3</v>
      </c>
      <c r="H15" s="9">
        <f t="shared" si="1"/>
        <v>3.5314879754161636E-2</v>
      </c>
      <c r="I15" s="11">
        <f t="shared" si="2"/>
        <v>1.4731275179717063E-2</v>
      </c>
    </row>
    <row r="16" spans="1:9" x14ac:dyDescent="0.3">
      <c r="A16" s="1">
        <v>40370</v>
      </c>
      <c r="B16" s="5">
        <v>2990</v>
      </c>
      <c r="C16" s="3">
        <v>5.8400000000000001E-2</v>
      </c>
      <c r="D16" s="5">
        <v>1526.67</v>
      </c>
      <c r="E16" s="6">
        <f t="shared" si="3"/>
        <v>3.2587301909380528E-2</v>
      </c>
      <c r="F16" s="7">
        <v>7.6280000000000001E-2</v>
      </c>
      <c r="G16" s="7">
        <f t="shared" si="0"/>
        <v>1.4146660614680062E-3</v>
      </c>
      <c r="H16" s="9">
        <f t="shared" si="1"/>
        <v>5.6985333938531994E-2</v>
      </c>
      <c r="I16" s="11">
        <f t="shared" si="2"/>
        <v>3.1172635847912522E-2</v>
      </c>
    </row>
    <row r="17" spans="1:9" x14ac:dyDescent="0.3">
      <c r="A17" s="1">
        <v>40377</v>
      </c>
      <c r="B17" s="5">
        <v>3085</v>
      </c>
      <c r="C17" s="3">
        <v>3.1800000000000002E-2</v>
      </c>
      <c r="D17" s="5">
        <v>1569.86</v>
      </c>
      <c r="E17" s="6">
        <f t="shared" si="3"/>
        <v>2.8290331243818079E-2</v>
      </c>
      <c r="F17" s="7">
        <v>7.6840000000000006E-2</v>
      </c>
      <c r="G17" s="7">
        <f t="shared" si="0"/>
        <v>1.4246836357958426E-3</v>
      </c>
      <c r="H17" s="9">
        <f t="shared" si="1"/>
        <v>3.0375316364204159E-2</v>
      </c>
      <c r="I17" s="11">
        <f t="shared" si="2"/>
        <v>2.6865647608022236E-2</v>
      </c>
    </row>
    <row r="18" spans="1:9" x14ac:dyDescent="0.3">
      <c r="A18" s="1">
        <v>40384</v>
      </c>
      <c r="B18" s="5">
        <v>3105</v>
      </c>
      <c r="C18" s="3">
        <v>6.4999999999999997E-3</v>
      </c>
      <c r="D18" s="5">
        <v>1571.62</v>
      </c>
      <c r="E18" s="6">
        <f t="shared" si="3"/>
        <v>1.1211190806823534E-3</v>
      </c>
      <c r="F18" s="7">
        <v>7.7329999999999996E-2</v>
      </c>
      <c r="G18" s="7">
        <f t="shared" si="0"/>
        <v>1.4334448229518237E-3</v>
      </c>
      <c r="H18" s="9">
        <f t="shared" si="1"/>
        <v>5.066555177048176E-3</v>
      </c>
      <c r="I18" s="11">
        <f t="shared" si="2"/>
        <v>-3.123257422694703E-4</v>
      </c>
    </row>
    <row r="19" spans="1:9" x14ac:dyDescent="0.3">
      <c r="A19" s="1">
        <v>40391</v>
      </c>
      <c r="B19" s="5">
        <v>3365</v>
      </c>
      <c r="C19" s="3">
        <v>8.3699999999999997E-2</v>
      </c>
      <c r="D19" s="5">
        <v>1580.41</v>
      </c>
      <c r="E19" s="6">
        <f t="shared" si="3"/>
        <v>5.5929550400224404E-3</v>
      </c>
      <c r="F19" s="7">
        <v>7.7969999999999998E-2</v>
      </c>
      <c r="G19" s="7">
        <f t="shared" si="0"/>
        <v>1.4448821221224595E-3</v>
      </c>
      <c r="H19" s="9">
        <f t="shared" si="1"/>
        <v>8.2255117877877537E-2</v>
      </c>
      <c r="I19" s="11">
        <f t="shared" si="2"/>
        <v>4.1480729178999809E-3</v>
      </c>
    </row>
    <row r="20" spans="1:9" x14ac:dyDescent="0.3">
      <c r="A20" s="1">
        <v>40398</v>
      </c>
      <c r="B20" s="5">
        <v>3320</v>
      </c>
      <c r="C20" s="3">
        <v>-1.34E-2</v>
      </c>
      <c r="D20" s="5">
        <v>1567.78</v>
      </c>
      <c r="E20" s="6">
        <f t="shared" si="3"/>
        <v>-7.9915971172038747E-3</v>
      </c>
      <c r="F20" s="7">
        <v>7.8909999999999994E-2</v>
      </c>
      <c r="G20" s="7">
        <f t="shared" si="0"/>
        <v>1.4616685868023005E-3</v>
      </c>
      <c r="H20" s="9">
        <f t="shared" si="1"/>
        <v>-1.4861668586802301E-2</v>
      </c>
      <c r="I20" s="11">
        <f t="shared" si="2"/>
        <v>-9.4532657040061752E-3</v>
      </c>
    </row>
    <row r="21" spans="1:9" x14ac:dyDescent="0.3">
      <c r="A21" s="1">
        <v>40405</v>
      </c>
      <c r="B21" s="5">
        <v>3300</v>
      </c>
      <c r="C21" s="3">
        <v>-6.0000000000000001E-3</v>
      </c>
      <c r="D21" s="5">
        <v>1585.6</v>
      </c>
      <c r="E21" s="6">
        <f t="shared" si="3"/>
        <v>1.1366390692571615E-2</v>
      </c>
      <c r="F21" s="7">
        <v>7.8909999999999994E-2</v>
      </c>
      <c r="G21" s="7">
        <f t="shared" si="0"/>
        <v>1.4616685868023005E-3</v>
      </c>
      <c r="H21" s="9">
        <f t="shared" si="1"/>
        <v>-7.4616685868023006E-3</v>
      </c>
      <c r="I21" s="11">
        <f t="shared" si="2"/>
        <v>9.9047221057693147E-3</v>
      </c>
    </row>
    <row r="22" spans="1:9" x14ac:dyDescent="0.3">
      <c r="A22" s="1">
        <v>40412</v>
      </c>
      <c r="B22" s="5">
        <v>3435</v>
      </c>
      <c r="C22" s="3">
        <v>4.0899999999999999E-2</v>
      </c>
      <c r="D22" s="5">
        <v>1639.89</v>
      </c>
      <c r="E22" s="6">
        <f t="shared" si="3"/>
        <v>3.4239404641776217E-2</v>
      </c>
      <c r="F22" s="7">
        <v>7.6950000000000005E-2</v>
      </c>
      <c r="G22" s="7">
        <f t="shared" si="0"/>
        <v>1.4266507732156875E-3</v>
      </c>
      <c r="H22" s="9">
        <f t="shared" si="1"/>
        <v>3.9473349226784311E-2</v>
      </c>
      <c r="I22" s="11">
        <f t="shared" si="2"/>
        <v>3.2812753868560529E-2</v>
      </c>
    </row>
    <row r="23" spans="1:9" x14ac:dyDescent="0.3">
      <c r="A23" s="1">
        <v>40419</v>
      </c>
      <c r="B23" s="5">
        <v>3500</v>
      </c>
      <c r="C23" s="3">
        <v>1.89E-2</v>
      </c>
      <c r="D23" s="5">
        <v>1687.24</v>
      </c>
      <c r="E23" s="6">
        <f t="shared" si="3"/>
        <v>2.8873887882723714E-2</v>
      </c>
      <c r="F23" s="7">
        <v>7.6509999999999995E-2</v>
      </c>
      <c r="G23" s="7">
        <f t="shared" si="0"/>
        <v>1.4187810408363699E-3</v>
      </c>
      <c r="H23" s="9">
        <f t="shared" si="1"/>
        <v>1.748121895916363E-2</v>
      </c>
      <c r="I23" s="11">
        <f t="shared" si="2"/>
        <v>2.7455106841887345E-2</v>
      </c>
    </row>
    <row r="24" spans="1:9" x14ac:dyDescent="0.3">
      <c r="A24" s="1">
        <v>40426</v>
      </c>
      <c r="B24" s="5">
        <v>3690</v>
      </c>
      <c r="C24" s="3">
        <v>5.4300000000000001E-2</v>
      </c>
      <c r="D24" s="5">
        <v>1699.91</v>
      </c>
      <c r="E24" s="6">
        <f t="shared" si="3"/>
        <v>7.5093051373842368E-3</v>
      </c>
      <c r="F24" s="7">
        <v>7.8469999999999998E-2</v>
      </c>
      <c r="G24" s="7">
        <f t="shared" si="0"/>
        <v>1.4538128791306004E-3</v>
      </c>
      <c r="H24" s="9">
        <f t="shared" si="1"/>
        <v>5.2846187120869401E-2</v>
      </c>
      <c r="I24" s="11">
        <f t="shared" si="2"/>
        <v>6.0554922582536364E-3</v>
      </c>
    </row>
    <row r="25" spans="1:9" x14ac:dyDescent="0.3">
      <c r="A25" s="1">
        <v>40433</v>
      </c>
      <c r="B25" s="5">
        <v>3530</v>
      </c>
      <c r="C25" s="3">
        <v>-4.3400000000000001E-2</v>
      </c>
      <c r="D25" s="5">
        <v>1691.24</v>
      </c>
      <c r="E25" s="6">
        <f t="shared" si="3"/>
        <v>-5.1002700142949164E-3</v>
      </c>
      <c r="F25" s="7">
        <v>7.6619999999999994E-2</v>
      </c>
      <c r="G25" s="7">
        <f t="shared" si="0"/>
        <v>1.4207487696460408E-3</v>
      </c>
      <c r="H25" s="9">
        <f t="shared" si="1"/>
        <v>-4.4820748769646042E-2</v>
      </c>
      <c r="I25" s="11">
        <f t="shared" si="2"/>
        <v>-6.5210187839409572E-3</v>
      </c>
    </row>
    <row r="26" spans="1:9" x14ac:dyDescent="0.3">
      <c r="A26" s="1">
        <v>40440</v>
      </c>
      <c r="B26" s="5">
        <v>3585</v>
      </c>
      <c r="C26" s="3">
        <v>1.5599999999999999E-2</v>
      </c>
      <c r="D26" s="5">
        <v>1697.26</v>
      </c>
      <c r="E26" s="6">
        <f t="shared" si="3"/>
        <v>3.5595184598282703E-3</v>
      </c>
      <c r="F26" s="7">
        <v>7.5359999999999996E-2</v>
      </c>
      <c r="G26" s="7">
        <f t="shared" si="0"/>
        <v>1.3981975148751324E-3</v>
      </c>
      <c r="H26" s="9">
        <f t="shared" si="1"/>
        <v>1.4201802485124867E-2</v>
      </c>
      <c r="I26" s="11">
        <f t="shared" si="2"/>
        <v>2.1613209449531379E-3</v>
      </c>
    </row>
    <row r="27" spans="1:9" x14ac:dyDescent="0.3">
      <c r="A27" s="1">
        <v>40447</v>
      </c>
      <c r="B27" s="5">
        <v>3725</v>
      </c>
      <c r="C27" s="3">
        <v>3.9100000000000003E-2</v>
      </c>
      <c r="D27" s="5">
        <v>1766.79</v>
      </c>
      <c r="E27" s="6">
        <f t="shared" si="3"/>
        <v>4.0966027597421739E-2</v>
      </c>
      <c r="F27" s="7">
        <v>7.3520000000000002E-2</v>
      </c>
      <c r="G27" s="7">
        <f t="shared" si="0"/>
        <v>1.3652189257915559E-3</v>
      </c>
      <c r="H27" s="9">
        <f t="shared" si="1"/>
        <v>3.7734781074208447E-2</v>
      </c>
      <c r="I27" s="11">
        <f t="shared" si="2"/>
        <v>3.9600808671630183E-2</v>
      </c>
    </row>
    <row r="28" spans="1:9" x14ac:dyDescent="0.3">
      <c r="A28" s="1">
        <v>40454</v>
      </c>
      <c r="B28" s="5">
        <v>4055</v>
      </c>
      <c r="C28" s="3">
        <v>8.8599999999999998E-2</v>
      </c>
      <c r="D28" s="5">
        <v>1826.38</v>
      </c>
      <c r="E28" s="6">
        <f t="shared" si="3"/>
        <v>3.3727834094601006E-2</v>
      </c>
      <c r="F28" s="7">
        <v>7.2499999999999995E-2</v>
      </c>
      <c r="G28" s="7">
        <f t="shared" si="0"/>
        <v>1.3469134245813752E-3</v>
      </c>
      <c r="H28" s="9">
        <f t="shared" si="1"/>
        <v>8.7253086575418623E-2</v>
      </c>
      <c r="I28" s="11">
        <f t="shared" si="2"/>
        <v>3.2380920670019631E-2</v>
      </c>
    </row>
    <row r="29" spans="1:9" x14ac:dyDescent="0.3">
      <c r="A29" s="1">
        <v>40461</v>
      </c>
      <c r="B29" s="5">
        <v>4140</v>
      </c>
      <c r="C29" s="3">
        <v>2.1000000000000001E-2</v>
      </c>
      <c r="D29" s="5">
        <v>1833.59</v>
      </c>
      <c r="E29" s="6">
        <f t="shared" si="3"/>
        <v>3.9476998215046688E-3</v>
      </c>
      <c r="F29" s="7">
        <v>7.4050000000000005E-2</v>
      </c>
      <c r="G29" s="7">
        <f t="shared" si="0"/>
        <v>1.3747238742396473E-3</v>
      </c>
      <c r="H29" s="9">
        <f t="shared" si="1"/>
        <v>1.9625276125760354E-2</v>
      </c>
      <c r="I29" s="11">
        <f t="shared" si="2"/>
        <v>2.5729759472650215E-3</v>
      </c>
    </row>
    <row r="30" spans="1:9" x14ac:dyDescent="0.3">
      <c r="A30" s="1">
        <v>40468</v>
      </c>
      <c r="B30" s="5">
        <v>4340</v>
      </c>
      <c r="C30" s="3">
        <v>4.8300000000000003E-2</v>
      </c>
      <c r="D30" s="5">
        <v>1906.66</v>
      </c>
      <c r="E30" s="6">
        <f t="shared" si="3"/>
        <v>3.9850784526529903E-2</v>
      </c>
      <c r="F30" s="7">
        <v>7.2319999999999995E-2</v>
      </c>
      <c r="G30" s="7">
        <f t="shared" si="0"/>
        <v>1.3436812696516753E-3</v>
      </c>
      <c r="H30" s="9">
        <f t="shared" si="1"/>
        <v>4.6956318730348327E-2</v>
      </c>
      <c r="I30" s="11">
        <f t="shared" si="2"/>
        <v>3.8507103256878228E-2</v>
      </c>
    </row>
    <row r="31" spans="1:9" x14ac:dyDescent="0.3">
      <c r="A31" s="1">
        <v>40475</v>
      </c>
      <c r="B31" s="5">
        <v>4410</v>
      </c>
      <c r="C31" s="3">
        <v>1.61E-2</v>
      </c>
      <c r="D31" s="5">
        <v>1901.83</v>
      </c>
      <c r="E31" s="6">
        <f t="shared" si="3"/>
        <v>-2.5332256406491727E-3</v>
      </c>
      <c r="F31" s="7">
        <v>7.2160000000000002E-2</v>
      </c>
      <c r="G31" s="7">
        <f t="shared" si="0"/>
        <v>1.340807796300636E-3</v>
      </c>
      <c r="H31" s="9">
        <f t="shared" si="1"/>
        <v>1.4759192203699364E-2</v>
      </c>
      <c r="I31" s="11">
        <f t="shared" si="2"/>
        <v>-3.8740334369498086E-3</v>
      </c>
    </row>
    <row r="32" spans="1:9" x14ac:dyDescent="0.3">
      <c r="A32" s="1">
        <v>40482</v>
      </c>
      <c r="B32" s="5">
        <v>4630</v>
      </c>
      <c r="C32" s="3">
        <v>4.99E-2</v>
      </c>
      <c r="D32" s="5">
        <v>1940.38</v>
      </c>
      <c r="E32" s="6">
        <f t="shared" si="3"/>
        <v>2.0269950521340174E-2</v>
      </c>
      <c r="F32" s="7">
        <v>7.2120000000000004E-2</v>
      </c>
      <c r="G32" s="7">
        <f t="shared" si="0"/>
        <v>1.3400893622494969E-3</v>
      </c>
      <c r="H32" s="9">
        <f t="shared" si="1"/>
        <v>4.8559910637750503E-2</v>
      </c>
      <c r="I32" s="11">
        <f t="shared" si="2"/>
        <v>1.8929861159090677E-2</v>
      </c>
    </row>
    <row r="33" spans="1:9" x14ac:dyDescent="0.3">
      <c r="A33" s="1">
        <v>40489</v>
      </c>
      <c r="B33" s="5">
        <v>4145</v>
      </c>
      <c r="C33" s="3">
        <v>-0.1048</v>
      </c>
      <c r="D33" s="5">
        <v>1795.09</v>
      </c>
      <c r="E33" s="6">
        <f t="shared" si="3"/>
        <v>-7.487708593162179E-2</v>
      </c>
      <c r="F33" s="7">
        <v>7.1739999999999998E-2</v>
      </c>
      <c r="G33" s="7">
        <f t="shared" si="0"/>
        <v>1.3332629273121732E-3</v>
      </c>
      <c r="H33" s="9">
        <f t="shared" si="1"/>
        <v>-0.10613326292731218</v>
      </c>
      <c r="I33" s="11">
        <f t="shared" si="2"/>
        <v>-7.6210348858933963E-2</v>
      </c>
    </row>
    <row r="34" spans="1:9" x14ac:dyDescent="0.3">
      <c r="A34" s="1">
        <v>40496</v>
      </c>
      <c r="B34" s="5">
        <v>4090</v>
      </c>
      <c r="C34" s="3">
        <v>-1.3299999999999999E-2</v>
      </c>
      <c r="D34" s="5">
        <v>1778.83</v>
      </c>
      <c r="E34" s="6">
        <f t="shared" si="3"/>
        <v>-9.0580416580784417E-3</v>
      </c>
      <c r="F34" s="7">
        <v>7.102E-2</v>
      </c>
      <c r="G34" s="7">
        <f t="shared" si="0"/>
        <v>1.3203221170103863E-3</v>
      </c>
      <c r="H34" s="9">
        <f t="shared" si="1"/>
        <v>-1.4620322117010386E-2</v>
      </c>
      <c r="I34" s="11">
        <f t="shared" si="2"/>
        <v>-1.0378363775088828E-2</v>
      </c>
    </row>
    <row r="35" spans="1:9" x14ac:dyDescent="0.3">
      <c r="A35" s="1">
        <v>40503</v>
      </c>
      <c r="B35" s="5">
        <v>3935</v>
      </c>
      <c r="C35" s="3">
        <v>-3.7900000000000003E-2</v>
      </c>
      <c r="D35" s="5">
        <v>1770.59</v>
      </c>
      <c r="E35" s="6">
        <f t="shared" si="3"/>
        <v>-4.6322582821293201E-3</v>
      </c>
      <c r="F35" s="7">
        <v>6.9260000000000002E-2</v>
      </c>
      <c r="G35" s="7">
        <f t="shared" si="0"/>
        <v>1.2886530705584764E-3</v>
      </c>
      <c r="H35" s="9">
        <f t="shared" si="1"/>
        <v>-3.918865307055848E-2</v>
      </c>
      <c r="I35" s="11">
        <f t="shared" si="2"/>
        <v>-5.9209113526877966E-3</v>
      </c>
    </row>
    <row r="36" spans="1:9" x14ac:dyDescent="0.3">
      <c r="A36" s="1">
        <v>40510</v>
      </c>
      <c r="B36" s="5">
        <v>4020</v>
      </c>
      <c r="C36" s="3">
        <v>2.1600000000000001E-2</v>
      </c>
      <c r="D36" s="5">
        <v>1830.26</v>
      </c>
      <c r="E36" s="6">
        <f t="shared" si="3"/>
        <v>3.3700630863158665E-2</v>
      </c>
      <c r="F36" s="7">
        <v>6.812E-2</v>
      </c>
      <c r="G36" s="7">
        <f t="shared" si="0"/>
        <v>1.2681128717242363E-3</v>
      </c>
      <c r="H36" s="9">
        <f t="shared" si="1"/>
        <v>2.0331887128275765E-2</v>
      </c>
      <c r="I36" s="11">
        <f t="shared" si="2"/>
        <v>3.2432517991434429E-2</v>
      </c>
    </row>
    <row r="37" spans="1:9" x14ac:dyDescent="0.3">
      <c r="A37" s="1">
        <v>40517</v>
      </c>
      <c r="B37" s="5">
        <v>4070</v>
      </c>
      <c r="C37" s="3">
        <v>1.24E-2</v>
      </c>
      <c r="D37" s="5">
        <v>1830.86</v>
      </c>
      <c r="E37" s="6">
        <f t="shared" si="3"/>
        <v>3.2782227661631858E-4</v>
      </c>
      <c r="F37" s="7">
        <v>6.785999999999999E-2</v>
      </c>
      <c r="G37" s="7">
        <f t="shared" si="0"/>
        <v>1.2634252539844848E-3</v>
      </c>
      <c r="H37" s="9">
        <f t="shared" si="1"/>
        <v>1.1136574746015515E-2</v>
      </c>
      <c r="I37" s="11">
        <f t="shared" si="2"/>
        <v>-9.3560297736816622E-4</v>
      </c>
    </row>
    <row r="38" spans="1:9" x14ac:dyDescent="0.3">
      <c r="A38" s="1">
        <v>40524</v>
      </c>
      <c r="B38" s="5">
        <v>4020</v>
      </c>
      <c r="C38" s="3">
        <v>-1.23E-2</v>
      </c>
      <c r="D38" s="5">
        <v>1823.1</v>
      </c>
      <c r="E38" s="6">
        <f t="shared" si="3"/>
        <v>-4.2384453207782169E-3</v>
      </c>
      <c r="F38" s="7">
        <v>6.9290000000000004E-2</v>
      </c>
      <c r="G38" s="7">
        <f t="shared" si="0"/>
        <v>1.2891933120178223E-3</v>
      </c>
      <c r="H38" s="9">
        <f t="shared" si="1"/>
        <v>-1.3589193312017822E-2</v>
      </c>
      <c r="I38" s="11">
        <f t="shared" si="2"/>
        <v>-5.5276386327960392E-3</v>
      </c>
    </row>
    <row r="39" spans="1:9" x14ac:dyDescent="0.3">
      <c r="A39" s="1">
        <v>40531</v>
      </c>
      <c r="B39" s="5">
        <v>4105</v>
      </c>
      <c r="C39" s="3">
        <v>2.1100000000000001E-2</v>
      </c>
      <c r="D39" s="5">
        <v>1853.24</v>
      </c>
      <c r="E39" s="6">
        <f t="shared" si="3"/>
        <v>1.6532280182107506E-2</v>
      </c>
      <c r="F39" s="7">
        <v>6.7930000000000004E-2</v>
      </c>
      <c r="G39" s="7">
        <f t="shared" si="0"/>
        <v>1.2646874150217258E-3</v>
      </c>
      <c r="H39" s="9">
        <f t="shared" si="1"/>
        <v>1.9835312584978275E-2</v>
      </c>
      <c r="I39" s="11">
        <f t="shared" si="2"/>
        <v>1.526759276708578E-2</v>
      </c>
    </row>
    <row r="40" spans="1:9" x14ac:dyDescent="0.3">
      <c r="A40" s="1">
        <v>40538</v>
      </c>
      <c r="B40" s="5">
        <v>4100</v>
      </c>
      <c r="C40" s="3">
        <v>-1.1999999999999999E-3</v>
      </c>
      <c r="D40" s="5">
        <v>1823.7</v>
      </c>
      <c r="E40" s="6">
        <f t="shared" si="3"/>
        <v>-1.5939651637132735E-2</v>
      </c>
      <c r="F40" s="7">
        <v>6.837E-2</v>
      </c>
      <c r="G40" s="7">
        <f t="shared" si="0"/>
        <v>1.2726191412211207E-3</v>
      </c>
      <c r="H40" s="9">
        <f t="shared" si="1"/>
        <v>-2.4726191412211204E-3</v>
      </c>
      <c r="I40" s="11">
        <f t="shared" si="2"/>
        <v>-1.7212270778353855E-2</v>
      </c>
    </row>
    <row r="41" spans="1:9" x14ac:dyDescent="0.3">
      <c r="A41" s="1">
        <v>40545</v>
      </c>
      <c r="B41" s="5">
        <v>3890</v>
      </c>
      <c r="C41" s="3">
        <v>-5.1200000000000002E-2</v>
      </c>
      <c r="D41" s="5">
        <v>1781.71</v>
      </c>
      <c r="E41" s="6">
        <f t="shared" si="3"/>
        <v>-2.3024620277457886E-2</v>
      </c>
      <c r="F41" s="7">
        <v>6.8390000000000006E-2</v>
      </c>
      <c r="G41" s="7">
        <f t="shared" si="0"/>
        <v>1.2729795981023528E-3</v>
      </c>
      <c r="H41" s="9">
        <f t="shared" si="1"/>
        <v>-5.2472979598102355E-2</v>
      </c>
      <c r="I41" s="11">
        <f t="shared" si="2"/>
        <v>-2.4297599875560238E-2</v>
      </c>
    </row>
    <row r="42" spans="1:9" x14ac:dyDescent="0.3">
      <c r="A42" s="1">
        <v>40552</v>
      </c>
      <c r="B42" s="5">
        <v>4015</v>
      </c>
      <c r="C42" s="3">
        <v>3.2099999999999997E-2</v>
      </c>
      <c r="D42" s="5">
        <v>1796.05</v>
      </c>
      <c r="E42" s="6">
        <f t="shared" si="3"/>
        <v>8.0484478394351466E-3</v>
      </c>
      <c r="F42" s="7">
        <v>6.6489999999999994E-2</v>
      </c>
      <c r="G42" s="7">
        <f t="shared" si="0"/>
        <v>1.2387066106098743E-3</v>
      </c>
      <c r="H42" s="9">
        <f t="shared" si="1"/>
        <v>3.0861293389390122E-2</v>
      </c>
      <c r="I42" s="11">
        <f t="shared" si="2"/>
        <v>6.8097412288252723E-3</v>
      </c>
    </row>
    <row r="43" spans="1:9" x14ac:dyDescent="0.3">
      <c r="A43" s="1">
        <v>40559</v>
      </c>
      <c r="B43" s="5">
        <v>3925</v>
      </c>
      <c r="C43" s="3">
        <v>-2.24E-2</v>
      </c>
      <c r="D43" s="5">
        <v>1756.48</v>
      </c>
      <c r="E43" s="6">
        <f t="shared" si="3"/>
        <v>-2.2031680632499051E-2</v>
      </c>
      <c r="F43" s="7">
        <v>6.7320000000000005E-2</v>
      </c>
      <c r="G43" s="7">
        <f t="shared" si="0"/>
        <v>1.2536858547567142E-3</v>
      </c>
      <c r="H43" s="9">
        <f t="shared" si="1"/>
        <v>-2.3653685854756714E-2</v>
      </c>
      <c r="I43" s="11">
        <f t="shared" si="2"/>
        <v>-2.3285366487255765E-2</v>
      </c>
    </row>
    <row r="44" spans="1:9" x14ac:dyDescent="0.3">
      <c r="A44" s="1">
        <v>40566</v>
      </c>
      <c r="B44" s="5">
        <v>3965</v>
      </c>
      <c r="C44" s="3">
        <v>1.0200000000000001E-2</v>
      </c>
      <c r="D44" s="5">
        <v>1768.13</v>
      </c>
      <c r="E44" s="6">
        <f t="shared" si="3"/>
        <v>6.6325833485152419E-3</v>
      </c>
      <c r="F44" s="7">
        <v>6.4909999999999995E-2</v>
      </c>
      <c r="G44" s="7">
        <f t="shared" si="0"/>
        <v>1.2101602796590338E-3</v>
      </c>
      <c r="H44" s="9">
        <f t="shared" si="1"/>
        <v>8.9898397203409669E-3</v>
      </c>
      <c r="I44" s="11">
        <f t="shared" si="2"/>
        <v>5.4224230688562081E-3</v>
      </c>
    </row>
    <row r="45" spans="1:9" x14ac:dyDescent="0.3">
      <c r="A45" s="1">
        <v>40573</v>
      </c>
      <c r="B45" s="5">
        <v>3915</v>
      </c>
      <c r="C45" s="3">
        <v>-1.26E-2</v>
      </c>
      <c r="D45" s="5">
        <v>1709.06</v>
      </c>
      <c r="E45" s="6">
        <f t="shared" si="3"/>
        <v>-3.340817700055998E-2</v>
      </c>
      <c r="F45" s="7">
        <v>6.4199999999999993E-2</v>
      </c>
      <c r="G45" s="7">
        <f t="shared" si="0"/>
        <v>1.1973189681853125E-3</v>
      </c>
      <c r="H45" s="9">
        <f t="shared" si="1"/>
        <v>-1.3797318968185313E-2</v>
      </c>
      <c r="I45" s="11">
        <f t="shared" si="2"/>
        <v>-3.4605495968745292E-2</v>
      </c>
    </row>
    <row r="46" spans="1:9" x14ac:dyDescent="0.3">
      <c r="A46" s="1">
        <v>40580</v>
      </c>
      <c r="B46" s="5">
        <v>3900</v>
      </c>
      <c r="C46" s="3">
        <v>-3.8E-3</v>
      </c>
      <c r="D46" s="5">
        <v>1694.51</v>
      </c>
      <c r="E46" s="6">
        <f t="shared" si="3"/>
        <v>-8.5134518390226344E-3</v>
      </c>
      <c r="F46" s="7">
        <v>6.3939999999999997E-2</v>
      </c>
      <c r="G46" s="7">
        <f t="shared" si="0"/>
        <v>1.1926144141067851E-3</v>
      </c>
      <c r="H46" s="9">
        <f t="shared" si="1"/>
        <v>-4.9926144141067847E-3</v>
      </c>
      <c r="I46" s="11">
        <f t="shared" si="2"/>
        <v>-9.7060662531294195E-3</v>
      </c>
    </row>
    <row r="47" spans="1:9" x14ac:dyDescent="0.3">
      <c r="A47" s="1">
        <v>40587</v>
      </c>
      <c r="B47" s="5">
        <v>3750</v>
      </c>
      <c r="C47" s="3">
        <v>-3.85E-2</v>
      </c>
      <c r="D47" s="5">
        <v>1644.66</v>
      </c>
      <c r="E47" s="6">
        <f t="shared" si="3"/>
        <v>-2.9418533971472538E-2</v>
      </c>
      <c r="F47" s="7">
        <v>6.2549999999999994E-2</v>
      </c>
      <c r="G47" s="7">
        <f t="shared" si="0"/>
        <v>1.1674440007689579E-3</v>
      </c>
      <c r="H47" s="9">
        <f t="shared" si="1"/>
        <v>-3.9667444000768957E-2</v>
      </c>
      <c r="I47" s="11">
        <f t="shared" si="2"/>
        <v>-3.0585977972241496E-2</v>
      </c>
    </row>
    <row r="48" spans="1:9" x14ac:dyDescent="0.3">
      <c r="A48" s="1">
        <v>40594</v>
      </c>
      <c r="B48" s="5">
        <v>3955</v>
      </c>
      <c r="C48" s="3">
        <v>5.4699999999999999E-2</v>
      </c>
      <c r="D48" s="5">
        <v>1713.4</v>
      </c>
      <c r="E48" s="6">
        <f t="shared" si="3"/>
        <v>4.1795872703172643E-2</v>
      </c>
      <c r="F48" s="7">
        <v>6.1210000000000007E-2</v>
      </c>
      <c r="G48" s="7">
        <f t="shared" si="0"/>
        <v>1.1431484068353814E-3</v>
      </c>
      <c r="H48" s="9">
        <f t="shared" si="1"/>
        <v>5.3556851593164617E-2</v>
      </c>
      <c r="I48" s="11">
        <f t="shared" si="2"/>
        <v>4.0652724296337261E-2</v>
      </c>
    </row>
    <row r="49" spans="1:9" x14ac:dyDescent="0.3">
      <c r="A49" s="1">
        <v>40601</v>
      </c>
      <c r="B49" s="5">
        <v>4060</v>
      </c>
      <c r="C49" s="3">
        <v>2.6499999999999999E-2</v>
      </c>
      <c r="D49" s="5">
        <v>1788.14</v>
      </c>
      <c r="E49" s="6">
        <f t="shared" si="3"/>
        <v>4.3620870783237953E-2</v>
      </c>
      <c r="F49" s="7">
        <v>6.2420000000000003E-2</v>
      </c>
      <c r="G49" s="7">
        <f t="shared" si="0"/>
        <v>1.1650882821765407E-3</v>
      </c>
      <c r="H49" s="9">
        <f t="shared" si="1"/>
        <v>2.5334911717823459E-2</v>
      </c>
      <c r="I49" s="11">
        <f t="shared" si="2"/>
        <v>4.2455782501061412E-2</v>
      </c>
    </row>
    <row r="50" spans="1:9" x14ac:dyDescent="0.3">
      <c r="A50" s="1">
        <v>40608</v>
      </c>
      <c r="B50" s="5">
        <v>3895</v>
      </c>
      <c r="C50" s="3">
        <v>-4.0599999999999997E-2</v>
      </c>
      <c r="D50" s="5">
        <v>1699.01</v>
      </c>
      <c r="E50" s="6">
        <f t="shared" si="3"/>
        <v>-4.9845090429161076E-2</v>
      </c>
      <c r="F50" s="7">
        <v>6.6379999999999995E-2</v>
      </c>
      <c r="G50" s="7">
        <f t="shared" si="0"/>
        <v>1.2367205515837476E-3</v>
      </c>
      <c r="H50" s="9">
        <f t="shared" si="1"/>
        <v>-4.1836720551583745E-2</v>
      </c>
      <c r="I50" s="11">
        <f t="shared" si="2"/>
        <v>-5.1081810980744824E-2</v>
      </c>
    </row>
    <row r="51" spans="1:9" x14ac:dyDescent="0.3">
      <c r="A51" s="1">
        <v>40615</v>
      </c>
      <c r="B51" s="5">
        <v>3825</v>
      </c>
      <c r="C51" s="3">
        <v>-1.7999999999999999E-2</v>
      </c>
      <c r="D51" s="5">
        <v>1739.16</v>
      </c>
      <c r="E51" s="6">
        <f t="shared" si="3"/>
        <v>2.3631408879288607E-2</v>
      </c>
      <c r="F51" s="7">
        <v>6.5180000000000002E-2</v>
      </c>
      <c r="G51" s="7">
        <f t="shared" si="0"/>
        <v>1.2150413916465208E-3</v>
      </c>
      <c r="H51" s="9">
        <f t="shared" si="1"/>
        <v>-1.9215041391646519E-2</v>
      </c>
      <c r="I51" s="11">
        <f t="shared" si="2"/>
        <v>2.2416367487642086E-2</v>
      </c>
    </row>
    <row r="52" spans="1:9" x14ac:dyDescent="0.3">
      <c r="A52" s="1">
        <v>40622</v>
      </c>
      <c r="B52" s="5">
        <v>3810</v>
      </c>
      <c r="C52" s="3">
        <v>-3.8999999999999998E-3</v>
      </c>
      <c r="D52" s="5">
        <v>1727.79</v>
      </c>
      <c r="E52" s="6">
        <f t="shared" si="3"/>
        <v>-6.5376388601394719E-3</v>
      </c>
      <c r="F52" s="7">
        <v>6.5670000000000006E-2</v>
      </c>
      <c r="G52" s="7">
        <f t="shared" si="0"/>
        <v>1.2238966073956359E-3</v>
      </c>
      <c r="H52" s="9">
        <f t="shared" si="1"/>
        <v>-5.1238966073956357E-3</v>
      </c>
      <c r="I52" s="11">
        <f t="shared" si="2"/>
        <v>-7.7615354675351078E-3</v>
      </c>
    </row>
    <row r="53" spans="1:9" x14ac:dyDescent="0.3">
      <c r="A53" s="1">
        <v>40629</v>
      </c>
      <c r="B53" s="5">
        <v>3865</v>
      </c>
      <c r="C53" s="3">
        <v>1.44E-2</v>
      </c>
      <c r="D53" s="5">
        <v>1708.59</v>
      </c>
      <c r="E53" s="6">
        <f t="shared" si="3"/>
        <v>-1.1112461583873023E-2</v>
      </c>
      <c r="F53" s="7">
        <v>6.5320000000000003E-2</v>
      </c>
      <c r="G53" s="7">
        <f t="shared" si="0"/>
        <v>1.217571860895994E-3</v>
      </c>
      <c r="H53" s="9">
        <f t="shared" si="1"/>
        <v>1.3182428139104006E-2</v>
      </c>
      <c r="I53" s="11">
        <f t="shared" si="2"/>
        <v>-1.2330033444769017E-2</v>
      </c>
    </row>
    <row r="54" spans="1:9" x14ac:dyDescent="0.3">
      <c r="A54" s="1">
        <v>40636</v>
      </c>
      <c r="B54" s="5">
        <v>3765</v>
      </c>
      <c r="C54" s="3">
        <v>-2.5899999999999999E-2</v>
      </c>
      <c r="D54" s="5">
        <v>1708.66</v>
      </c>
      <c r="E54" s="6">
        <f t="shared" si="3"/>
        <v>4.0969454345507472E-5</v>
      </c>
      <c r="F54" s="7">
        <v>6.6199999999999995E-2</v>
      </c>
      <c r="G54" s="7">
        <f t="shared" si="0"/>
        <v>1.2334702033671707E-3</v>
      </c>
      <c r="H54" s="9">
        <f t="shared" si="1"/>
        <v>-2.713347020336717E-2</v>
      </c>
      <c r="I54" s="11">
        <f t="shared" si="2"/>
        <v>-1.1925007490216633E-3</v>
      </c>
    </row>
    <row r="55" spans="1:9" x14ac:dyDescent="0.3">
      <c r="A55" s="1">
        <v>40643</v>
      </c>
      <c r="B55" s="5">
        <v>3670</v>
      </c>
      <c r="C55" s="3">
        <v>-2.52E-2</v>
      </c>
      <c r="D55" s="5">
        <v>1670.18</v>
      </c>
      <c r="E55" s="6">
        <f t="shared" si="3"/>
        <v>-2.2520571676050261E-2</v>
      </c>
      <c r="F55" s="7">
        <v>6.6299999999999998E-2</v>
      </c>
      <c r="G55" s="7">
        <f t="shared" si="0"/>
        <v>1.235276018812792E-3</v>
      </c>
      <c r="H55" s="9">
        <f t="shared" si="1"/>
        <v>-2.6435276018812792E-2</v>
      </c>
      <c r="I55" s="11">
        <f t="shared" si="2"/>
        <v>-2.3755847694863053E-2</v>
      </c>
    </row>
    <row r="56" spans="1:9" x14ac:dyDescent="0.3">
      <c r="A56" s="1">
        <v>40650</v>
      </c>
      <c r="B56" s="5">
        <v>3730</v>
      </c>
      <c r="C56" s="3">
        <v>1.6299999999999999E-2</v>
      </c>
      <c r="D56" s="5">
        <v>1691.73</v>
      </c>
      <c r="E56" s="6">
        <f t="shared" si="3"/>
        <v>1.2902800895711719E-2</v>
      </c>
      <c r="F56" s="7">
        <v>6.6959999999999992E-2</v>
      </c>
      <c r="G56" s="7">
        <f t="shared" si="0"/>
        <v>1.2471902366861798E-3</v>
      </c>
      <c r="H56" s="9">
        <f t="shared" si="1"/>
        <v>1.5052809763313819E-2</v>
      </c>
      <c r="I56" s="11">
        <f t="shared" si="2"/>
        <v>1.1655610659025539E-2</v>
      </c>
    </row>
    <row r="57" spans="1:9" x14ac:dyDescent="0.3">
      <c r="A57" s="1">
        <v>40657</v>
      </c>
      <c r="B57" s="5">
        <v>3800</v>
      </c>
      <c r="C57" s="3">
        <v>1.8800000000000001E-2</v>
      </c>
      <c r="D57" s="5">
        <v>1700.68</v>
      </c>
      <c r="E57" s="6">
        <f t="shared" si="3"/>
        <v>5.2904423282675861E-3</v>
      </c>
      <c r="F57" s="7">
        <v>6.6989999999999994E-2</v>
      </c>
      <c r="G57" s="7">
        <f t="shared" si="0"/>
        <v>1.2477316202856858E-3</v>
      </c>
      <c r="H57" s="9">
        <f t="shared" si="1"/>
        <v>1.7552268379714315E-2</v>
      </c>
      <c r="I57" s="11">
        <f t="shared" si="2"/>
        <v>4.0427107079819002E-3</v>
      </c>
    </row>
    <row r="58" spans="1:9" x14ac:dyDescent="0.3">
      <c r="A58" s="1">
        <v>40664</v>
      </c>
      <c r="B58" s="5">
        <v>3760</v>
      </c>
      <c r="C58" s="3">
        <v>-1.0500000000000001E-2</v>
      </c>
      <c r="D58" s="5">
        <v>1652.88</v>
      </c>
      <c r="E58" s="6">
        <f t="shared" si="3"/>
        <v>-2.8106404497024728E-2</v>
      </c>
      <c r="F58" s="7">
        <v>6.8419999999999995E-2</v>
      </c>
      <c r="G58" s="7">
        <f t="shared" si="0"/>
        <v>1.2735202710159044E-3</v>
      </c>
      <c r="H58" s="9">
        <f t="shared" si="1"/>
        <v>-1.1773520271015905E-2</v>
      </c>
      <c r="I58" s="11">
        <f t="shared" si="2"/>
        <v>-2.9379924768040633E-2</v>
      </c>
    </row>
    <row r="59" spans="1:9" x14ac:dyDescent="0.3">
      <c r="A59" s="1">
        <v>40671</v>
      </c>
      <c r="B59" s="5">
        <v>3870</v>
      </c>
      <c r="C59" s="3">
        <v>2.93E-2</v>
      </c>
      <c r="D59" s="5">
        <v>1706.76</v>
      </c>
      <c r="E59" s="6">
        <f t="shared" si="3"/>
        <v>3.2597647742122815E-2</v>
      </c>
      <c r="F59" s="7">
        <v>6.7850000000000008E-2</v>
      </c>
      <c r="G59" s="7">
        <f t="shared" si="0"/>
        <v>1.2632449386407174E-3</v>
      </c>
      <c r="H59" s="9">
        <f t="shared" si="1"/>
        <v>2.8036755061359282E-2</v>
      </c>
      <c r="I59" s="11">
        <f t="shared" si="2"/>
        <v>3.1334402803482098E-2</v>
      </c>
    </row>
    <row r="60" spans="1:9" x14ac:dyDescent="0.3">
      <c r="A60" s="1">
        <v>40678</v>
      </c>
      <c r="B60" s="5">
        <v>3940</v>
      </c>
      <c r="C60" s="3">
        <v>1.8100000000000002E-2</v>
      </c>
      <c r="D60" s="5">
        <v>1710.5</v>
      </c>
      <c r="E60" s="6">
        <f t="shared" si="3"/>
        <v>2.1912864140243293E-3</v>
      </c>
      <c r="F60" s="7">
        <v>6.7140000000000005E-2</v>
      </c>
      <c r="G60" s="7">
        <f t="shared" si="0"/>
        <v>1.2504383143663311E-3</v>
      </c>
      <c r="H60" s="9">
        <f t="shared" si="1"/>
        <v>1.684956168563367E-2</v>
      </c>
      <c r="I60" s="11">
        <f t="shared" si="2"/>
        <v>9.408480996579982E-4</v>
      </c>
    </row>
    <row r="61" spans="1:9" x14ac:dyDescent="0.3">
      <c r="A61" s="1">
        <v>40685</v>
      </c>
      <c r="B61" s="5">
        <v>3950</v>
      </c>
      <c r="C61" s="3">
        <v>2.5000000000000001E-3</v>
      </c>
      <c r="D61" s="5">
        <v>1732.02</v>
      </c>
      <c r="E61" s="6">
        <f t="shared" si="3"/>
        <v>1.258111663256356E-2</v>
      </c>
      <c r="F61" s="7">
        <v>6.7430000000000004E-2</v>
      </c>
      <c r="G61" s="7">
        <f t="shared" si="0"/>
        <v>1.2556701983508223E-3</v>
      </c>
      <c r="H61" s="9">
        <f t="shared" si="1"/>
        <v>1.2443298016491778E-3</v>
      </c>
      <c r="I61" s="11">
        <f t="shared" si="2"/>
        <v>1.1325446434212738E-2</v>
      </c>
    </row>
    <row r="62" spans="1:9" x14ac:dyDescent="0.3">
      <c r="A62" s="1">
        <v>40692</v>
      </c>
      <c r="B62" s="5">
        <v>4015</v>
      </c>
      <c r="C62" s="3">
        <v>1.6500000000000001E-2</v>
      </c>
      <c r="D62" s="5">
        <v>1753.31</v>
      </c>
      <c r="E62" s="6">
        <f t="shared" si="3"/>
        <v>1.2292005865983002E-2</v>
      </c>
      <c r="F62" s="7">
        <v>6.7070000000000005E-2</v>
      </c>
      <c r="G62" s="7">
        <f t="shared" si="0"/>
        <v>1.2491752369008235E-3</v>
      </c>
      <c r="H62" s="9">
        <f t="shared" si="1"/>
        <v>1.5250824763099177E-2</v>
      </c>
      <c r="I62" s="11">
        <f t="shared" si="2"/>
        <v>1.1042830629082179E-2</v>
      </c>
    </row>
    <row r="63" spans="1:9" x14ac:dyDescent="0.3">
      <c r="A63" s="1">
        <v>40699</v>
      </c>
      <c r="B63" s="5">
        <v>4000</v>
      </c>
      <c r="C63" s="3">
        <v>-3.7000000000000002E-3</v>
      </c>
      <c r="D63" s="5">
        <v>1751.77</v>
      </c>
      <c r="E63" s="6">
        <f t="shared" si="3"/>
        <v>-8.7833868511555391E-4</v>
      </c>
      <c r="F63" s="7">
        <v>6.7889999999999992E-2</v>
      </c>
      <c r="G63" s="7">
        <f t="shared" si="0"/>
        <v>1.2639661900790689E-3</v>
      </c>
      <c r="H63" s="9">
        <f t="shared" si="1"/>
        <v>-4.963966190079069E-3</v>
      </c>
      <c r="I63" s="11">
        <f t="shared" si="2"/>
        <v>-2.1423048751946228E-3</v>
      </c>
    </row>
    <row r="64" spans="1:9" x14ac:dyDescent="0.3">
      <c r="A64" s="1">
        <v>40706</v>
      </c>
      <c r="B64" s="5">
        <v>3815</v>
      </c>
      <c r="C64" s="3">
        <v>-4.6300000000000001E-2</v>
      </c>
      <c r="D64" s="5">
        <v>1702.44</v>
      </c>
      <c r="E64" s="6">
        <f t="shared" si="3"/>
        <v>-2.8160089509467578E-2</v>
      </c>
      <c r="F64" s="7">
        <v>6.8010000000000001E-2</v>
      </c>
      <c r="G64" s="7">
        <f t="shared" si="0"/>
        <v>1.2661297854268394E-3</v>
      </c>
      <c r="H64" s="9">
        <f t="shared" si="1"/>
        <v>-4.756612978542684E-2</v>
      </c>
      <c r="I64" s="11">
        <f t="shared" si="2"/>
        <v>-2.9426219294894418E-2</v>
      </c>
    </row>
    <row r="65" spans="1:9" x14ac:dyDescent="0.3">
      <c r="A65" s="1">
        <v>40713</v>
      </c>
      <c r="B65" s="5">
        <v>3810</v>
      </c>
      <c r="C65" s="3">
        <v>-1.2999999999999999E-3</v>
      </c>
      <c r="D65" s="5">
        <v>1710.15</v>
      </c>
      <c r="E65" s="6">
        <f t="shared" si="3"/>
        <v>4.5287939663072319E-3</v>
      </c>
      <c r="F65" s="7">
        <v>6.7119999999999999E-2</v>
      </c>
      <c r="G65" s="7">
        <f t="shared" si="0"/>
        <v>1.2500774433823469E-3</v>
      </c>
      <c r="H65" s="9">
        <f t="shared" si="1"/>
        <v>-2.5500774433823469E-3</v>
      </c>
      <c r="I65" s="11">
        <f t="shared" si="2"/>
        <v>3.2787165229248849E-3</v>
      </c>
    </row>
    <row r="66" spans="1:9" x14ac:dyDescent="0.3">
      <c r="A66" s="1">
        <v>40720</v>
      </c>
      <c r="B66" s="5">
        <v>3875</v>
      </c>
      <c r="C66" s="3">
        <v>1.7100000000000001E-2</v>
      </c>
      <c r="D66" s="5">
        <v>1707.03</v>
      </c>
      <c r="E66" s="6">
        <f t="shared" si="3"/>
        <v>-1.8244013683010873E-3</v>
      </c>
      <c r="F66" s="7">
        <v>6.6360000000000002E-2</v>
      </c>
      <c r="G66" s="7">
        <f t="shared" si="0"/>
        <v>1.2363594283555379E-3</v>
      </c>
      <c r="H66" s="9">
        <f t="shared" si="1"/>
        <v>1.5863640571644463E-2</v>
      </c>
      <c r="I66" s="11">
        <f t="shared" si="2"/>
        <v>-3.0607607966566253E-3</v>
      </c>
    </row>
    <row r="67" spans="1:9" x14ac:dyDescent="0.3">
      <c r="A67" s="1">
        <v>40727</v>
      </c>
      <c r="B67" s="5">
        <v>3700</v>
      </c>
      <c r="C67" s="3">
        <v>-4.5199999999999997E-2</v>
      </c>
      <c r="D67" s="5">
        <v>1656.36</v>
      </c>
      <c r="E67" s="6">
        <f t="shared" si="3"/>
        <v>-2.9683133864079725E-2</v>
      </c>
      <c r="F67" s="7">
        <v>6.5730000000000011E-2</v>
      </c>
      <c r="G67" s="7">
        <f t="shared" ref="G67:G130" si="4">(1+F67)^(1/52)-1</f>
        <v>1.224980645087248E-3</v>
      </c>
      <c r="H67" s="9">
        <f t="shared" ref="H67:H130" si="5">C67-G67</f>
        <v>-4.6424980645087245E-2</v>
      </c>
      <c r="I67" s="11">
        <f t="shared" ref="I67:I130" si="6">E67-G67</f>
        <v>-3.0908114509166973E-2</v>
      </c>
    </row>
    <row r="68" spans="1:9" x14ac:dyDescent="0.3">
      <c r="A68" s="1">
        <v>40734</v>
      </c>
      <c r="B68" s="5">
        <v>3575</v>
      </c>
      <c r="C68" s="3">
        <v>-3.3799999999999997E-2</v>
      </c>
      <c r="D68" s="5">
        <v>1584.07</v>
      </c>
      <c r="E68" s="6">
        <f t="shared" ref="E68:E131" si="7">D68/D67-1</f>
        <v>-4.3643893839503511E-2</v>
      </c>
      <c r="F68" s="7">
        <v>6.5369999999999998E-2</v>
      </c>
      <c r="G68" s="7">
        <f t="shared" si="4"/>
        <v>1.2184755208730635E-3</v>
      </c>
      <c r="H68" s="9">
        <f t="shared" si="5"/>
        <v>-3.501847552087306E-2</v>
      </c>
      <c r="I68" s="11">
        <f t="shared" si="6"/>
        <v>-4.4862369360376575E-2</v>
      </c>
    </row>
    <row r="69" spans="1:9" x14ac:dyDescent="0.3">
      <c r="A69" s="1">
        <v>40741</v>
      </c>
      <c r="B69" s="5">
        <v>3705</v>
      </c>
      <c r="C69" s="3">
        <v>3.6400000000000002E-2</v>
      </c>
      <c r="D69" s="5">
        <v>1645.71</v>
      </c>
      <c r="E69" s="6">
        <f t="shared" si="7"/>
        <v>3.8912421799541796E-2</v>
      </c>
      <c r="F69" s="7">
        <v>6.5850000000000006E-2</v>
      </c>
      <c r="G69" s="7">
        <f t="shared" si="4"/>
        <v>1.2271485409109939E-3</v>
      </c>
      <c r="H69" s="9">
        <f t="shared" si="5"/>
        <v>3.5172851459089008E-2</v>
      </c>
      <c r="I69" s="11">
        <f t="shared" si="6"/>
        <v>3.7685273258630803E-2</v>
      </c>
    </row>
    <row r="70" spans="1:9" x14ac:dyDescent="0.3">
      <c r="A70" s="1">
        <v>40748</v>
      </c>
      <c r="B70" s="5">
        <v>3735</v>
      </c>
      <c r="C70" s="3">
        <v>8.0999999999999996E-3</v>
      </c>
      <c r="D70" s="5">
        <v>1659.39</v>
      </c>
      <c r="E70" s="6">
        <f t="shared" si="7"/>
        <v>8.3125216471917618E-3</v>
      </c>
      <c r="F70" s="7">
        <v>6.6740000000000008E-2</v>
      </c>
      <c r="G70" s="7">
        <f t="shared" si="4"/>
        <v>1.2432196340519397E-3</v>
      </c>
      <c r="H70" s="9">
        <f t="shared" si="5"/>
        <v>6.8567803659480599E-3</v>
      </c>
      <c r="I70" s="11">
        <f t="shared" si="6"/>
        <v>7.0693020131398221E-3</v>
      </c>
    </row>
    <row r="71" spans="1:9" x14ac:dyDescent="0.3">
      <c r="A71" s="1">
        <v>40755</v>
      </c>
      <c r="B71" s="5">
        <v>3660</v>
      </c>
      <c r="C71" s="3">
        <v>-2.01E-2</v>
      </c>
      <c r="D71" s="5">
        <v>1588.1</v>
      </c>
      <c r="E71" s="6">
        <f t="shared" si="7"/>
        <v>-4.296157021556124E-2</v>
      </c>
      <c r="F71" s="7">
        <v>6.6500000000000004E-2</v>
      </c>
      <c r="G71" s="7">
        <f t="shared" si="4"/>
        <v>1.2388871514679156E-3</v>
      </c>
      <c r="H71" s="9">
        <f t="shared" si="5"/>
        <v>-2.1338887151467915E-2</v>
      </c>
      <c r="I71" s="11">
        <f t="shared" si="6"/>
        <v>-4.4200457367029156E-2</v>
      </c>
    </row>
    <row r="72" spans="1:9" x14ac:dyDescent="0.3">
      <c r="A72" s="1">
        <v>40762</v>
      </c>
      <c r="B72" s="5">
        <v>3710</v>
      </c>
      <c r="C72" s="3">
        <v>1.37E-2</v>
      </c>
      <c r="D72" s="5">
        <v>1611.13</v>
      </c>
      <c r="E72" s="6">
        <f t="shared" si="7"/>
        <v>1.4501605692336828E-2</v>
      </c>
      <c r="F72" s="7">
        <v>6.7539999999999989E-2</v>
      </c>
      <c r="G72" s="7">
        <f t="shared" si="4"/>
        <v>1.257654341398462E-3</v>
      </c>
      <c r="H72" s="9">
        <f t="shared" si="5"/>
        <v>1.2442345658601538E-2</v>
      </c>
      <c r="I72" s="11">
        <f t="shared" si="6"/>
        <v>1.3243951350938366E-2</v>
      </c>
    </row>
    <row r="73" spans="1:9" x14ac:dyDescent="0.3">
      <c r="A73" s="1">
        <v>40769</v>
      </c>
      <c r="B73" s="5">
        <v>3610</v>
      </c>
      <c r="C73" s="3">
        <v>-2.7E-2</v>
      </c>
      <c r="D73" s="5">
        <v>1573.1</v>
      </c>
      <c r="E73" s="6">
        <f t="shared" si="7"/>
        <v>-2.3604550843197125E-2</v>
      </c>
      <c r="F73" s="7">
        <v>6.5360000000000001E-2</v>
      </c>
      <c r="G73" s="7">
        <f t="shared" si="4"/>
        <v>1.2182947922052545E-3</v>
      </c>
      <c r="H73" s="9">
        <f t="shared" si="5"/>
        <v>-2.8218294792205254E-2</v>
      </c>
      <c r="I73" s="11">
        <f t="shared" si="6"/>
        <v>-2.482284563540238E-2</v>
      </c>
    </row>
    <row r="74" spans="1:9" x14ac:dyDescent="0.3">
      <c r="A74" s="1">
        <v>40776</v>
      </c>
      <c r="B74" s="5">
        <v>3680</v>
      </c>
      <c r="C74" s="3">
        <v>1.9400000000000001E-2</v>
      </c>
      <c r="D74" s="5">
        <v>1604.16</v>
      </c>
      <c r="E74" s="6">
        <f t="shared" si="7"/>
        <v>1.974445362659738E-2</v>
      </c>
      <c r="F74" s="7">
        <v>6.4710000000000004E-2</v>
      </c>
      <c r="G74" s="7">
        <f t="shared" si="4"/>
        <v>1.2065438585460164E-3</v>
      </c>
      <c r="H74" s="9">
        <f t="shared" si="5"/>
        <v>1.8193456141453984E-2</v>
      </c>
      <c r="I74" s="11">
        <f t="shared" si="6"/>
        <v>1.8537909768051364E-2</v>
      </c>
    </row>
    <row r="75" spans="1:9" x14ac:dyDescent="0.3">
      <c r="A75" s="1">
        <v>40783</v>
      </c>
      <c r="B75" s="5">
        <v>3885</v>
      </c>
      <c r="C75" s="3">
        <v>5.57E-2</v>
      </c>
      <c r="D75" s="5">
        <v>1642.54</v>
      </c>
      <c r="E75" s="6">
        <f t="shared" si="7"/>
        <v>2.3925294234989014E-2</v>
      </c>
      <c r="F75" s="7">
        <v>6.515E-2</v>
      </c>
      <c r="G75" s="7">
        <f t="shared" si="4"/>
        <v>1.2144991057980725E-3</v>
      </c>
      <c r="H75" s="9">
        <f t="shared" si="5"/>
        <v>5.4485500894201927E-2</v>
      </c>
      <c r="I75" s="11">
        <f t="shared" si="6"/>
        <v>2.2710795129190942E-2</v>
      </c>
    </row>
    <row r="76" spans="1:9" x14ac:dyDescent="0.3">
      <c r="A76" s="1">
        <v>40790</v>
      </c>
      <c r="B76" s="5">
        <v>3835</v>
      </c>
      <c r="C76" s="3">
        <v>-1.29E-2</v>
      </c>
      <c r="D76" s="5">
        <v>1631.87</v>
      </c>
      <c r="E76" s="6">
        <f t="shared" si="7"/>
        <v>-6.4960366262009073E-3</v>
      </c>
      <c r="F76" s="7">
        <v>6.480000000000001E-2</v>
      </c>
      <c r="G76" s="7">
        <f t="shared" si="4"/>
        <v>1.2081713304894492E-3</v>
      </c>
      <c r="H76" s="9">
        <f t="shared" si="5"/>
        <v>-1.4108171330489449E-2</v>
      </c>
      <c r="I76" s="11">
        <f t="shared" si="6"/>
        <v>-7.7042079566903565E-3</v>
      </c>
    </row>
    <row r="77" spans="1:9" x14ac:dyDescent="0.3">
      <c r="A77" s="1">
        <v>40797</v>
      </c>
      <c r="B77" s="5">
        <v>4120</v>
      </c>
      <c r="C77" s="3">
        <v>7.4300000000000005E-2</v>
      </c>
      <c r="D77" s="5">
        <v>1684.37</v>
      </c>
      <c r="E77" s="6">
        <f t="shared" si="7"/>
        <v>3.2171680342184095E-2</v>
      </c>
      <c r="F77" s="7">
        <v>6.3930000000000001E-2</v>
      </c>
      <c r="G77" s="7">
        <f t="shared" si="4"/>
        <v>1.1924334472019904E-3</v>
      </c>
      <c r="H77" s="9">
        <f t="shared" si="5"/>
        <v>7.3107566552798015E-2</v>
      </c>
      <c r="I77" s="11">
        <f t="shared" si="6"/>
        <v>3.0979246894982104E-2</v>
      </c>
    </row>
    <row r="78" spans="1:9" x14ac:dyDescent="0.3">
      <c r="A78" s="1">
        <v>40804</v>
      </c>
      <c r="B78" s="5">
        <v>3825</v>
      </c>
      <c r="C78" s="3">
        <v>-7.1599999999999997E-2</v>
      </c>
      <c r="D78" s="5">
        <v>1593.69</v>
      </c>
      <c r="E78" s="6">
        <f t="shared" si="7"/>
        <v>-5.3836152389320491E-2</v>
      </c>
      <c r="F78" s="7">
        <v>6.3539999999999999E-2</v>
      </c>
      <c r="G78" s="7">
        <f t="shared" si="4"/>
        <v>1.1853744363921059E-3</v>
      </c>
      <c r="H78" s="9">
        <f t="shared" si="5"/>
        <v>-7.2785374436392103E-2</v>
      </c>
      <c r="I78" s="11">
        <f t="shared" si="6"/>
        <v>-5.5021526825712597E-2</v>
      </c>
    </row>
    <row r="79" spans="1:9" x14ac:dyDescent="0.3">
      <c r="A79" s="1">
        <v>40811</v>
      </c>
      <c r="B79" s="5">
        <v>3860</v>
      </c>
      <c r="C79" s="3">
        <v>9.1999999999999998E-3</v>
      </c>
      <c r="D79" s="5">
        <v>1584.75</v>
      </c>
      <c r="E79" s="6">
        <f t="shared" si="7"/>
        <v>-5.6096229505111506E-3</v>
      </c>
      <c r="F79" s="7">
        <v>6.2240000000000004E-2</v>
      </c>
      <c r="G79" s="7">
        <f t="shared" si="4"/>
        <v>1.1618260512111789E-3</v>
      </c>
      <c r="H79" s="9">
        <f t="shared" si="5"/>
        <v>8.038173948788821E-3</v>
      </c>
      <c r="I79" s="11">
        <f t="shared" si="6"/>
        <v>-6.7714490017223294E-3</v>
      </c>
    </row>
    <row r="80" spans="1:9" x14ac:dyDescent="0.3">
      <c r="A80" s="1">
        <v>40818</v>
      </c>
      <c r="B80" s="5">
        <v>3885</v>
      </c>
      <c r="C80" s="3">
        <v>6.4999999999999997E-3</v>
      </c>
      <c r="D80" s="5">
        <v>1583.86</v>
      </c>
      <c r="E80" s="6">
        <f t="shared" si="7"/>
        <v>-5.6160277646322143E-4</v>
      </c>
      <c r="F80" s="7">
        <v>6.232E-2</v>
      </c>
      <c r="G80" s="7">
        <f t="shared" si="4"/>
        <v>1.1632759985689134E-3</v>
      </c>
      <c r="H80" s="9">
        <f t="shared" si="5"/>
        <v>5.3367240014310863E-3</v>
      </c>
      <c r="I80" s="11">
        <f t="shared" si="6"/>
        <v>-1.7248787750321348E-3</v>
      </c>
    </row>
    <row r="81" spans="1:9" x14ac:dyDescent="0.3">
      <c r="A81" s="1">
        <v>40825</v>
      </c>
      <c r="B81" s="5">
        <v>3940</v>
      </c>
      <c r="C81" s="3">
        <v>1.4200000000000001E-2</v>
      </c>
      <c r="D81" s="5">
        <v>1618.42</v>
      </c>
      <c r="E81" s="6">
        <f t="shared" si="7"/>
        <v>2.1820110363289791E-2</v>
      </c>
      <c r="F81" s="7">
        <v>6.25E-2</v>
      </c>
      <c r="G81" s="7">
        <f t="shared" si="4"/>
        <v>1.1665379886105498E-3</v>
      </c>
      <c r="H81" s="9">
        <f t="shared" si="5"/>
        <v>1.3033462011389451E-2</v>
      </c>
      <c r="I81" s="11">
        <f t="shared" si="6"/>
        <v>2.0653572374679241E-2</v>
      </c>
    </row>
    <row r="82" spans="1:9" x14ac:dyDescent="0.3">
      <c r="A82" s="1">
        <v>40832</v>
      </c>
      <c r="B82" s="5">
        <v>3995</v>
      </c>
      <c r="C82" s="3">
        <v>1.4E-2</v>
      </c>
      <c r="D82" s="5">
        <v>1627.27</v>
      </c>
      <c r="E82" s="6">
        <f t="shared" si="7"/>
        <v>5.4682962395422585E-3</v>
      </c>
      <c r="F82" s="7">
        <v>6.2449999999999999E-2</v>
      </c>
      <c r="G82" s="7">
        <f t="shared" si="4"/>
        <v>1.1656319346353694E-3</v>
      </c>
      <c r="H82" s="9">
        <f t="shared" si="5"/>
        <v>1.2834368065364631E-2</v>
      </c>
      <c r="I82" s="11">
        <f t="shared" si="6"/>
        <v>4.3026643049068891E-3</v>
      </c>
    </row>
    <row r="83" spans="1:9" x14ac:dyDescent="0.3">
      <c r="A83" s="1">
        <v>40839</v>
      </c>
      <c r="B83" s="5">
        <v>4055</v>
      </c>
      <c r="C83" s="3">
        <v>1.4999999999999999E-2</v>
      </c>
      <c r="D83" s="5">
        <v>1636.5</v>
      </c>
      <c r="E83" s="6">
        <f t="shared" si="7"/>
        <v>5.6720765453797117E-3</v>
      </c>
      <c r="F83" s="7">
        <v>6.3439999999999996E-2</v>
      </c>
      <c r="G83" s="7">
        <f t="shared" si="4"/>
        <v>1.1835640246817825E-3</v>
      </c>
      <c r="H83" s="9">
        <f t="shared" si="5"/>
        <v>1.3816435975318217E-2</v>
      </c>
      <c r="I83" s="11">
        <f t="shared" si="6"/>
        <v>4.4885125206979293E-3</v>
      </c>
    </row>
    <row r="84" spans="1:9" x14ac:dyDescent="0.3">
      <c r="A84" s="1">
        <v>40846</v>
      </c>
      <c r="B84" s="5">
        <v>4025</v>
      </c>
      <c r="C84" s="3">
        <v>-7.4000000000000003E-3</v>
      </c>
      <c r="D84" s="5">
        <v>1600.14</v>
      </c>
      <c r="E84" s="6">
        <f t="shared" si="7"/>
        <v>-2.2218148487625933E-2</v>
      </c>
      <c r="F84" s="7">
        <v>6.3750000000000001E-2</v>
      </c>
      <c r="G84" s="7">
        <f t="shared" si="4"/>
        <v>1.1891757576192319E-3</v>
      </c>
      <c r="H84" s="9">
        <f t="shared" si="5"/>
        <v>-8.5891757576192322E-3</v>
      </c>
      <c r="I84" s="11">
        <f t="shared" si="6"/>
        <v>-2.3407324245245165E-2</v>
      </c>
    </row>
    <row r="85" spans="1:9" x14ac:dyDescent="0.3">
      <c r="A85" s="1">
        <v>40853</v>
      </c>
      <c r="B85" s="5">
        <v>4020</v>
      </c>
      <c r="C85" s="3">
        <v>-1.1999999999999999E-3</v>
      </c>
      <c r="D85" s="5">
        <v>1582.14</v>
      </c>
      <c r="E85" s="6">
        <f t="shared" si="7"/>
        <v>-1.1249015711125243E-2</v>
      </c>
      <c r="F85" s="7">
        <v>6.4630000000000007E-2</v>
      </c>
      <c r="G85" s="7">
        <f t="shared" si="4"/>
        <v>1.2050971035442171E-3</v>
      </c>
      <c r="H85" s="9">
        <f t="shared" si="5"/>
        <v>-2.4050971035442167E-3</v>
      </c>
      <c r="I85" s="11">
        <f t="shared" si="6"/>
        <v>-1.245411281466946E-2</v>
      </c>
    </row>
    <row r="86" spans="1:9" x14ac:dyDescent="0.3">
      <c r="A86" s="1">
        <v>40860</v>
      </c>
      <c r="B86" s="5">
        <v>3975</v>
      </c>
      <c r="C86" s="3">
        <v>-1.12E-2</v>
      </c>
      <c r="D86" s="5">
        <v>1562.55</v>
      </c>
      <c r="E86" s="6">
        <f t="shared" si="7"/>
        <v>-1.2381963669460427E-2</v>
      </c>
      <c r="F86" s="7">
        <v>6.3449999999999993E-2</v>
      </c>
      <c r="G86" s="7">
        <f t="shared" si="4"/>
        <v>1.1837450733662713E-3</v>
      </c>
      <c r="H86" s="9">
        <f t="shared" si="5"/>
        <v>-1.2383745073366271E-2</v>
      </c>
      <c r="I86" s="11">
        <f t="shared" si="6"/>
        <v>-1.3565708742826699E-2</v>
      </c>
    </row>
    <row r="87" spans="1:9" x14ac:dyDescent="0.3">
      <c r="A87" s="1">
        <v>40867</v>
      </c>
      <c r="B87" s="5">
        <v>3910</v>
      </c>
      <c r="C87" s="3">
        <v>-1.6400000000000001E-2</v>
      </c>
      <c r="D87" s="5">
        <v>1482.59</v>
      </c>
      <c r="E87" s="6">
        <f t="shared" si="7"/>
        <v>-5.1172762471600963E-2</v>
      </c>
      <c r="F87" s="7">
        <v>6.2689999999999996E-2</v>
      </c>
      <c r="G87" s="7">
        <f t="shared" si="4"/>
        <v>1.1699806123790513E-3</v>
      </c>
      <c r="H87" s="9">
        <f t="shared" si="5"/>
        <v>-1.7569980612379053E-2</v>
      </c>
      <c r="I87" s="11">
        <f t="shared" si="6"/>
        <v>-5.2342743083980015E-2</v>
      </c>
    </row>
    <row r="88" spans="1:9" x14ac:dyDescent="0.3">
      <c r="A88" s="1">
        <v>40874</v>
      </c>
      <c r="B88" s="5">
        <v>4195</v>
      </c>
      <c r="C88" s="3">
        <v>7.2900000000000006E-2</v>
      </c>
      <c r="D88" s="5">
        <v>1586.85</v>
      </c>
      <c r="E88" s="6">
        <f t="shared" si="7"/>
        <v>7.0322880904363227E-2</v>
      </c>
      <c r="F88" s="7">
        <v>6.2179999999999999E-2</v>
      </c>
      <c r="G88" s="7">
        <f t="shared" si="4"/>
        <v>1.1607385204071008E-3</v>
      </c>
      <c r="H88" s="9">
        <f t="shared" si="5"/>
        <v>7.1739261479592906E-2</v>
      </c>
      <c r="I88" s="11">
        <f t="shared" si="6"/>
        <v>6.9162142383956127E-2</v>
      </c>
    </row>
    <row r="89" spans="1:9" x14ac:dyDescent="0.3">
      <c r="A89" s="1">
        <v>40881</v>
      </c>
      <c r="B89" s="5">
        <v>4170</v>
      </c>
      <c r="C89" s="3">
        <v>-6.0000000000000001E-3</v>
      </c>
      <c r="D89" s="5">
        <v>1577.86</v>
      </c>
      <c r="E89" s="6">
        <f t="shared" si="7"/>
        <v>-5.6653117812017761E-3</v>
      </c>
      <c r="F89" s="7">
        <v>6.1010000000000002E-2</v>
      </c>
      <c r="G89" s="7">
        <f t="shared" si="4"/>
        <v>1.1395196184875722E-3</v>
      </c>
      <c r="H89" s="9">
        <f t="shared" si="5"/>
        <v>-7.1395196184875723E-3</v>
      </c>
      <c r="I89" s="11">
        <f t="shared" si="6"/>
        <v>-6.8048313996893484E-3</v>
      </c>
    </row>
    <row r="90" spans="1:9" x14ac:dyDescent="0.3">
      <c r="A90" s="1">
        <v>40888</v>
      </c>
      <c r="B90" s="5">
        <v>4175</v>
      </c>
      <c r="C90" s="3">
        <v>1.1999999999999999E-3</v>
      </c>
      <c r="D90" s="5">
        <v>1571.89</v>
      </c>
      <c r="E90" s="6">
        <f t="shared" si="7"/>
        <v>-3.7836056430861076E-3</v>
      </c>
      <c r="F90" s="7">
        <v>6.0499999999999998E-2</v>
      </c>
      <c r="G90" s="7">
        <f t="shared" si="4"/>
        <v>1.1302631708043354E-3</v>
      </c>
      <c r="H90" s="9">
        <f t="shared" si="5"/>
        <v>6.9736829195664535E-5</v>
      </c>
      <c r="I90" s="11">
        <f t="shared" si="6"/>
        <v>-4.9138688138904429E-3</v>
      </c>
    </row>
    <row r="91" spans="1:9" x14ac:dyDescent="0.3">
      <c r="A91" s="1">
        <v>40895</v>
      </c>
      <c r="B91" s="5">
        <v>4285</v>
      </c>
      <c r="C91" s="3">
        <v>2.63E-2</v>
      </c>
      <c r="D91" s="5">
        <v>1600.4</v>
      </c>
      <c r="E91" s="6">
        <f t="shared" si="7"/>
        <v>1.8137401472113179E-2</v>
      </c>
      <c r="F91" s="7">
        <v>5.9960000000000006E-2</v>
      </c>
      <c r="G91" s="7">
        <f t="shared" si="4"/>
        <v>1.1204574663408184E-3</v>
      </c>
      <c r="H91" s="9">
        <f t="shared" si="5"/>
        <v>2.5179542533659182E-2</v>
      </c>
      <c r="I91" s="11">
        <f t="shared" si="6"/>
        <v>1.7016944005772361E-2</v>
      </c>
    </row>
    <row r="92" spans="1:9" x14ac:dyDescent="0.3">
      <c r="A92" s="1">
        <v>40902</v>
      </c>
      <c r="B92" s="5">
        <v>4215</v>
      </c>
      <c r="C92" s="3">
        <v>-1.6299999999999999E-2</v>
      </c>
      <c r="D92" s="5">
        <v>1571.55</v>
      </c>
      <c r="E92" s="6">
        <f t="shared" si="7"/>
        <v>-1.8026743314171534E-2</v>
      </c>
      <c r="F92" s="7">
        <v>6.2699999999999992E-2</v>
      </c>
      <c r="G92" s="7">
        <f t="shared" si="4"/>
        <v>1.1701617863810743E-3</v>
      </c>
      <c r="H92" s="9">
        <f t="shared" si="5"/>
        <v>-1.7470161786381073E-2</v>
      </c>
      <c r="I92" s="11">
        <f t="shared" si="6"/>
        <v>-1.9196905100552608E-2</v>
      </c>
    </row>
    <row r="93" spans="1:9" x14ac:dyDescent="0.3">
      <c r="A93" s="1">
        <v>40909</v>
      </c>
      <c r="B93" s="5">
        <v>4325</v>
      </c>
      <c r="C93" s="3">
        <v>2.6100000000000002E-2</v>
      </c>
      <c r="D93" s="5">
        <v>1599.69</v>
      </c>
      <c r="E93" s="6">
        <f t="shared" si="7"/>
        <v>1.7905889090388483E-2</v>
      </c>
      <c r="F93" s="7">
        <v>6.2549999999999994E-2</v>
      </c>
      <c r="G93" s="7">
        <f t="shared" si="4"/>
        <v>1.1674440007689579E-3</v>
      </c>
      <c r="H93" s="9">
        <f t="shared" si="5"/>
        <v>2.4932555999231044E-2</v>
      </c>
      <c r="I93" s="11">
        <f t="shared" si="6"/>
        <v>1.6738445089619525E-2</v>
      </c>
    </row>
    <row r="94" spans="1:9" x14ac:dyDescent="0.3">
      <c r="A94" s="1">
        <v>40916</v>
      </c>
      <c r="B94" s="5">
        <v>4480</v>
      </c>
      <c r="C94" s="3">
        <v>3.5799999999999998E-2</v>
      </c>
      <c r="D94" s="5">
        <v>1592.82</v>
      </c>
      <c r="E94" s="6">
        <f t="shared" si="7"/>
        <v>-4.2945820752771091E-3</v>
      </c>
      <c r="F94" s="7">
        <v>6.2119999999999995E-2</v>
      </c>
      <c r="G94" s="7">
        <f t="shared" si="4"/>
        <v>1.1596509293509971E-3</v>
      </c>
      <c r="H94" s="9">
        <f t="shared" si="5"/>
        <v>3.4640349070649001E-2</v>
      </c>
      <c r="I94" s="11">
        <f t="shared" si="6"/>
        <v>-5.4542330046281062E-3</v>
      </c>
    </row>
    <row r="95" spans="1:9" x14ac:dyDescent="0.3">
      <c r="A95" s="1">
        <v>40923</v>
      </c>
      <c r="B95" s="5">
        <v>4570</v>
      </c>
      <c r="C95" s="3">
        <v>2.01E-2</v>
      </c>
      <c r="D95" s="5">
        <v>1607.26</v>
      </c>
      <c r="E95" s="6">
        <f t="shared" si="7"/>
        <v>9.0656822490928768E-3</v>
      </c>
      <c r="F95" s="7">
        <v>6.0389999999999999E-2</v>
      </c>
      <c r="G95" s="7">
        <f t="shared" si="4"/>
        <v>1.1282661097153923E-3</v>
      </c>
      <c r="H95" s="9">
        <f t="shared" si="5"/>
        <v>1.8971733890284607E-2</v>
      </c>
      <c r="I95" s="11">
        <f t="shared" si="6"/>
        <v>7.9374161393774845E-3</v>
      </c>
    </row>
    <row r="96" spans="1:9" x14ac:dyDescent="0.3">
      <c r="A96" s="1">
        <v>40930</v>
      </c>
      <c r="B96" s="5">
        <v>4520</v>
      </c>
      <c r="C96" s="3">
        <v>-1.09E-2</v>
      </c>
      <c r="D96" s="5">
        <v>1595.77</v>
      </c>
      <c r="E96" s="6">
        <f t="shared" si="7"/>
        <v>-7.1488122643504903E-3</v>
      </c>
      <c r="F96" s="7">
        <v>5.9810000000000002E-2</v>
      </c>
      <c r="G96" s="7">
        <f t="shared" si="4"/>
        <v>1.1177327900329104E-3</v>
      </c>
      <c r="H96" s="9">
        <f t="shared" si="5"/>
        <v>-1.201773279003291E-2</v>
      </c>
      <c r="I96" s="11">
        <f t="shared" si="6"/>
        <v>-8.2665450543834007E-3</v>
      </c>
    </row>
    <row r="97" spans="1:9" x14ac:dyDescent="0.3">
      <c r="A97" s="1">
        <v>40937</v>
      </c>
      <c r="B97" s="5">
        <v>4650</v>
      </c>
      <c r="C97" s="3">
        <v>2.8799999999999999E-2</v>
      </c>
      <c r="D97" s="5">
        <v>1643.43</v>
      </c>
      <c r="E97" s="6">
        <f t="shared" si="7"/>
        <v>2.9866459452176697E-2</v>
      </c>
      <c r="F97" s="7">
        <v>5.8319999999999997E-2</v>
      </c>
      <c r="G97" s="7">
        <f t="shared" si="4"/>
        <v>1.0906471152418717E-3</v>
      </c>
      <c r="H97" s="9">
        <f t="shared" si="5"/>
        <v>2.7709352884758127E-2</v>
      </c>
      <c r="I97" s="11">
        <f t="shared" si="6"/>
        <v>2.8775812336934825E-2</v>
      </c>
    </row>
    <row r="98" spans="1:9" x14ac:dyDescent="0.3">
      <c r="A98" s="1">
        <v>40944</v>
      </c>
      <c r="B98" s="5">
        <v>4730</v>
      </c>
      <c r="C98" s="3">
        <v>1.72E-2</v>
      </c>
      <c r="D98" s="5">
        <v>1657.28</v>
      </c>
      <c r="E98" s="6">
        <f t="shared" si="7"/>
        <v>8.4274961513419733E-3</v>
      </c>
      <c r="F98" s="7">
        <v>5.9200000000000003E-2</v>
      </c>
      <c r="G98" s="7">
        <f t="shared" si="4"/>
        <v>1.1066485418160799E-3</v>
      </c>
      <c r="H98" s="9">
        <f t="shared" si="5"/>
        <v>1.609335145818392E-2</v>
      </c>
      <c r="I98" s="11">
        <f t="shared" si="6"/>
        <v>7.3208476095258934E-3</v>
      </c>
    </row>
    <row r="99" spans="1:9" x14ac:dyDescent="0.3">
      <c r="A99" s="1">
        <v>40951</v>
      </c>
      <c r="B99" s="5">
        <v>5060</v>
      </c>
      <c r="C99" s="3">
        <v>6.9800000000000001E-2</v>
      </c>
      <c r="D99" s="5">
        <v>1710.76</v>
      </c>
      <c r="E99" s="6">
        <f t="shared" si="7"/>
        <v>3.2269743193666711E-2</v>
      </c>
      <c r="F99" s="7">
        <v>5.9229999999999998E-2</v>
      </c>
      <c r="G99" s="7">
        <f t="shared" si="4"/>
        <v>1.1071938151414606E-3</v>
      </c>
      <c r="H99" s="9">
        <f t="shared" si="5"/>
        <v>6.869280618485854E-2</v>
      </c>
      <c r="I99" s="11">
        <f t="shared" si="6"/>
        <v>3.1162549378525251E-2</v>
      </c>
    </row>
    <row r="100" spans="1:9" x14ac:dyDescent="0.3">
      <c r="A100" s="1">
        <v>40958</v>
      </c>
      <c r="B100" s="5">
        <v>4985</v>
      </c>
      <c r="C100" s="3">
        <v>-1.4800000000000001E-2</v>
      </c>
      <c r="D100" s="5">
        <v>1718.51</v>
      </c>
      <c r="E100" s="6">
        <f t="shared" si="7"/>
        <v>4.5301503425378975E-3</v>
      </c>
      <c r="F100" s="7">
        <v>5.8129999999999994E-2</v>
      </c>
      <c r="G100" s="7">
        <f t="shared" si="4"/>
        <v>1.0871905489109324E-3</v>
      </c>
      <c r="H100" s="9">
        <f t="shared" si="5"/>
        <v>-1.5887190548910933E-2</v>
      </c>
      <c r="I100" s="11">
        <f t="shared" si="6"/>
        <v>3.4429597936269651E-3</v>
      </c>
    </row>
    <row r="101" spans="1:9" x14ac:dyDescent="0.3">
      <c r="A101" s="1">
        <v>40965</v>
      </c>
      <c r="B101" s="5">
        <v>5220</v>
      </c>
      <c r="C101" s="3">
        <v>4.7100000000000003E-2</v>
      </c>
      <c r="D101" s="5">
        <v>1734.65</v>
      </c>
      <c r="E101" s="6">
        <f t="shared" si="7"/>
        <v>9.3918568992907847E-3</v>
      </c>
      <c r="F101" s="7">
        <v>5.8639999999999998E-2</v>
      </c>
      <c r="G101" s="7">
        <f t="shared" si="4"/>
        <v>1.0964673251498969E-3</v>
      </c>
      <c r="H101" s="9">
        <f t="shared" si="5"/>
        <v>4.6003532674850106E-2</v>
      </c>
      <c r="I101" s="11">
        <f t="shared" si="6"/>
        <v>8.2953895741408878E-3</v>
      </c>
    </row>
    <row r="102" spans="1:9" x14ac:dyDescent="0.3">
      <c r="A102" s="1">
        <v>40972</v>
      </c>
      <c r="B102" s="5">
        <v>5150</v>
      </c>
      <c r="C102" s="3">
        <v>-1.34E-2</v>
      </c>
      <c r="D102" s="5">
        <v>1724.62</v>
      </c>
      <c r="E102" s="6">
        <f t="shared" si="7"/>
        <v>-5.7821462542877455E-3</v>
      </c>
      <c r="F102" s="7">
        <v>5.8070000000000004E-2</v>
      </c>
      <c r="G102" s="7">
        <f t="shared" si="4"/>
        <v>1.0860988751797418E-3</v>
      </c>
      <c r="H102" s="9">
        <f t="shared" si="5"/>
        <v>-1.4486098875179742E-2</v>
      </c>
      <c r="I102" s="11">
        <f t="shared" si="6"/>
        <v>-6.8682451294674873E-3</v>
      </c>
    </row>
    <row r="103" spans="1:9" x14ac:dyDescent="0.3">
      <c r="A103" s="1">
        <v>40979</v>
      </c>
      <c r="B103" s="5">
        <v>5210</v>
      </c>
      <c r="C103" s="3">
        <v>1.17E-2</v>
      </c>
      <c r="D103" s="5">
        <v>1705</v>
      </c>
      <c r="E103" s="6">
        <f t="shared" si="7"/>
        <v>-1.1376419153204753E-2</v>
      </c>
      <c r="F103" s="7">
        <v>5.7229999999999996E-2</v>
      </c>
      <c r="G103" s="7">
        <f t="shared" si="4"/>
        <v>1.0708090645776824E-3</v>
      </c>
      <c r="H103" s="9">
        <f t="shared" si="5"/>
        <v>1.0629190935422318E-2</v>
      </c>
      <c r="I103" s="11">
        <f t="shared" si="6"/>
        <v>-1.2447228217782436E-2</v>
      </c>
    </row>
    <row r="104" spans="1:9" x14ac:dyDescent="0.3">
      <c r="A104" s="1">
        <v>40986</v>
      </c>
      <c r="B104" s="5">
        <v>5360</v>
      </c>
      <c r="C104" s="3">
        <v>2.8799999999999999E-2</v>
      </c>
      <c r="D104" s="5">
        <v>1732.23</v>
      </c>
      <c r="E104" s="6">
        <f t="shared" si="7"/>
        <v>1.597067448680356E-2</v>
      </c>
      <c r="F104" s="7">
        <v>5.6180000000000001E-2</v>
      </c>
      <c r="G104" s="7">
        <f t="shared" si="4"/>
        <v>1.0516800377147195E-3</v>
      </c>
      <c r="H104" s="9">
        <f t="shared" si="5"/>
        <v>2.774831996228528E-2</v>
      </c>
      <c r="I104" s="11">
        <f t="shared" si="6"/>
        <v>1.491899444908884E-2</v>
      </c>
    </row>
    <row r="105" spans="1:9" x14ac:dyDescent="0.3">
      <c r="A105" s="1">
        <v>40993</v>
      </c>
      <c r="B105" s="5">
        <v>5430</v>
      </c>
      <c r="C105" s="3">
        <v>1.3100000000000001E-2</v>
      </c>
      <c r="D105" s="5">
        <v>1743.63</v>
      </c>
      <c r="E105" s="6">
        <f t="shared" si="7"/>
        <v>6.5811122079630913E-3</v>
      </c>
      <c r="F105" s="7">
        <v>5.484E-2</v>
      </c>
      <c r="G105" s="7">
        <f t="shared" si="4"/>
        <v>1.027240647916372E-3</v>
      </c>
      <c r="H105" s="9">
        <f t="shared" si="5"/>
        <v>1.2072759352083628E-2</v>
      </c>
      <c r="I105" s="11">
        <f t="shared" si="6"/>
        <v>5.5538715600467192E-3</v>
      </c>
    </row>
    <row r="106" spans="1:9" x14ac:dyDescent="0.3">
      <c r="A106" s="1">
        <v>41000</v>
      </c>
      <c r="B106" s="5">
        <v>5610</v>
      </c>
      <c r="C106" s="3">
        <v>3.3099999999999997E-2</v>
      </c>
      <c r="D106" s="5">
        <v>1742.9</v>
      </c>
      <c r="E106" s="6">
        <f t="shared" si="7"/>
        <v>-4.1866680431057457E-4</v>
      </c>
      <c r="F106" s="7">
        <v>5.4919999999999997E-2</v>
      </c>
      <c r="G106" s="7">
        <f t="shared" si="4"/>
        <v>1.0287005704028296E-3</v>
      </c>
      <c r="H106" s="9">
        <f t="shared" si="5"/>
        <v>3.2071299429597168E-2</v>
      </c>
      <c r="I106" s="11">
        <f t="shared" si="6"/>
        <v>-1.4473673747134042E-3</v>
      </c>
    </row>
    <row r="107" spans="1:9" x14ac:dyDescent="0.3">
      <c r="A107" s="1">
        <v>41007</v>
      </c>
      <c r="B107" s="5">
        <v>5580</v>
      </c>
      <c r="C107" s="3">
        <v>-5.3E-3</v>
      </c>
      <c r="D107" s="5">
        <v>1748.7</v>
      </c>
      <c r="E107" s="6">
        <f t="shared" si="7"/>
        <v>3.3277870216306127E-3</v>
      </c>
      <c r="F107" s="7">
        <v>5.4949999999999999E-2</v>
      </c>
      <c r="G107" s="7">
        <f t="shared" si="4"/>
        <v>1.0292480133409221E-3</v>
      </c>
      <c r="H107" s="9">
        <f t="shared" si="5"/>
        <v>-6.3292480133409221E-3</v>
      </c>
      <c r="I107" s="11">
        <f t="shared" si="6"/>
        <v>2.2985390082896906E-3</v>
      </c>
    </row>
    <row r="108" spans="1:9" x14ac:dyDescent="0.3">
      <c r="A108" s="1">
        <v>41014</v>
      </c>
      <c r="B108" s="5">
        <v>5260</v>
      </c>
      <c r="C108" s="3">
        <v>-5.7299999999999997E-2</v>
      </c>
      <c r="D108" s="5">
        <v>1754.56</v>
      </c>
      <c r="E108" s="6">
        <f t="shared" si="7"/>
        <v>3.3510607880138377E-3</v>
      </c>
      <c r="F108" s="7">
        <v>5.5660000000000001E-2</v>
      </c>
      <c r="G108" s="7">
        <f t="shared" si="4"/>
        <v>1.0421997081433432E-3</v>
      </c>
      <c r="H108" s="9">
        <f t="shared" si="5"/>
        <v>-5.834219970814334E-2</v>
      </c>
      <c r="I108" s="11">
        <f t="shared" si="6"/>
        <v>2.3088610798704945E-3</v>
      </c>
    </row>
    <row r="109" spans="1:9" x14ac:dyDescent="0.3">
      <c r="A109" s="1">
        <v>41021</v>
      </c>
      <c r="B109" s="5">
        <v>5580</v>
      </c>
      <c r="C109" s="3">
        <v>6.08E-2</v>
      </c>
      <c r="D109" s="5">
        <v>1769.49</v>
      </c>
      <c r="E109" s="6">
        <f t="shared" si="7"/>
        <v>8.5092558818165021E-3</v>
      </c>
      <c r="F109" s="7">
        <v>5.5999999999999994E-2</v>
      </c>
      <c r="G109" s="7">
        <f t="shared" si="4"/>
        <v>1.0483989033209795E-3</v>
      </c>
      <c r="H109" s="9">
        <f t="shared" si="5"/>
        <v>5.975160109667902E-2</v>
      </c>
      <c r="I109" s="11">
        <f t="shared" si="6"/>
        <v>7.4608569784955225E-3</v>
      </c>
    </row>
    <row r="110" spans="1:9" x14ac:dyDescent="0.3">
      <c r="A110" s="1">
        <v>41028</v>
      </c>
      <c r="B110" s="5">
        <v>5600</v>
      </c>
      <c r="C110" s="3">
        <v>3.5999999999999999E-3</v>
      </c>
      <c r="D110" s="5">
        <v>1799.25</v>
      </c>
      <c r="E110" s="6">
        <f t="shared" si="7"/>
        <v>1.6818405303222983E-2</v>
      </c>
      <c r="F110" s="7">
        <v>5.7030000000000004E-2</v>
      </c>
      <c r="G110" s="7">
        <f t="shared" si="4"/>
        <v>1.0671668773825083E-3</v>
      </c>
      <c r="H110" s="9">
        <f t="shared" si="5"/>
        <v>2.5328331226174916E-3</v>
      </c>
      <c r="I110" s="11">
        <f t="shared" si="6"/>
        <v>1.5751238425840475E-2</v>
      </c>
    </row>
    <row r="111" spans="1:9" x14ac:dyDescent="0.3">
      <c r="A111" s="1">
        <v>41035</v>
      </c>
      <c r="B111" s="5">
        <v>5560</v>
      </c>
      <c r="C111" s="3">
        <v>-7.1000000000000004E-3</v>
      </c>
      <c r="D111" s="5">
        <v>1775.8</v>
      </c>
      <c r="E111" s="6">
        <f t="shared" si="7"/>
        <v>-1.3033208281228337E-2</v>
      </c>
      <c r="F111" s="7">
        <v>5.6219999999999999E-2</v>
      </c>
      <c r="G111" s="7">
        <f t="shared" si="4"/>
        <v>1.0524091042118933E-3</v>
      </c>
      <c r="H111" s="9">
        <f t="shared" si="5"/>
        <v>-8.1524091042118937E-3</v>
      </c>
      <c r="I111" s="11">
        <f t="shared" si="6"/>
        <v>-1.408561738544023E-2</v>
      </c>
    </row>
    <row r="112" spans="1:9" x14ac:dyDescent="0.3">
      <c r="A112" s="1">
        <v>41042</v>
      </c>
      <c r="B112" s="5">
        <v>5330</v>
      </c>
      <c r="C112" s="3">
        <v>-4.1399999999999999E-2</v>
      </c>
      <c r="D112" s="5">
        <v>1715.45</v>
      </c>
      <c r="E112" s="6">
        <f t="shared" si="7"/>
        <v>-3.3984682959792734E-2</v>
      </c>
      <c r="F112" s="7">
        <v>5.4629999999999998E-2</v>
      </c>
      <c r="G112" s="7">
        <f t="shared" si="4"/>
        <v>1.0234078346653686E-3</v>
      </c>
      <c r="H112" s="9">
        <f t="shared" si="5"/>
        <v>-4.2423407834665368E-2</v>
      </c>
      <c r="I112" s="11">
        <f t="shared" si="6"/>
        <v>-3.5008090794458102E-2</v>
      </c>
    </row>
    <row r="113" spans="1:9" x14ac:dyDescent="0.3">
      <c r="A113" s="1">
        <v>41049</v>
      </c>
      <c r="B113" s="5">
        <v>5300</v>
      </c>
      <c r="C113" s="3">
        <v>-5.5999999999999999E-3</v>
      </c>
      <c r="D113" s="5">
        <v>1713.33</v>
      </c>
      <c r="E113" s="6">
        <f t="shared" si="7"/>
        <v>-1.2358273339357906E-3</v>
      </c>
      <c r="F113" s="7">
        <v>5.3589999999999999E-2</v>
      </c>
      <c r="G113" s="7">
        <f t="shared" si="4"/>
        <v>1.004415243897494E-3</v>
      </c>
      <c r="H113" s="9">
        <f t="shared" si="5"/>
        <v>-6.604415243897494E-3</v>
      </c>
      <c r="I113" s="11">
        <f t="shared" si="6"/>
        <v>-2.2402425778332846E-3</v>
      </c>
    </row>
    <row r="114" spans="1:9" x14ac:dyDescent="0.3">
      <c r="A114" s="1">
        <v>41056</v>
      </c>
      <c r="B114" s="5">
        <v>5340</v>
      </c>
      <c r="C114" s="3">
        <v>7.4999999999999997E-3</v>
      </c>
      <c r="D114" s="5">
        <v>1680.44</v>
      </c>
      <c r="E114" s="6">
        <f t="shared" si="7"/>
        <v>-1.9196535401819759E-2</v>
      </c>
      <c r="F114" s="7">
        <v>5.3689999999999995E-2</v>
      </c>
      <c r="G114" s="7">
        <f t="shared" si="4"/>
        <v>1.006242253359213E-3</v>
      </c>
      <c r="H114" s="9">
        <f t="shared" si="5"/>
        <v>6.4937577466407867E-3</v>
      </c>
      <c r="I114" s="11">
        <f t="shared" si="6"/>
        <v>-2.0202777655178972E-2</v>
      </c>
    </row>
    <row r="115" spans="1:9" x14ac:dyDescent="0.3">
      <c r="A115" s="1">
        <v>41063</v>
      </c>
      <c r="B115" s="5">
        <v>5230</v>
      </c>
      <c r="C115" s="3">
        <v>-2.06E-2</v>
      </c>
      <c r="D115" s="5">
        <v>1672.84</v>
      </c>
      <c r="E115" s="6">
        <f t="shared" si="7"/>
        <v>-4.5226250267788037E-3</v>
      </c>
      <c r="F115" s="7">
        <v>5.1689999999999993E-2</v>
      </c>
      <c r="G115" s="7">
        <f t="shared" si="4"/>
        <v>9.6966971220746601E-4</v>
      </c>
      <c r="H115" s="9">
        <f t="shared" si="5"/>
        <v>-2.1569669712207466E-2</v>
      </c>
      <c r="I115" s="11">
        <f t="shared" si="6"/>
        <v>-5.4922947389862697E-3</v>
      </c>
    </row>
    <row r="116" spans="1:9" x14ac:dyDescent="0.3">
      <c r="A116" s="1">
        <v>41070</v>
      </c>
      <c r="B116" s="5">
        <v>5290</v>
      </c>
      <c r="C116" s="3">
        <v>1.15E-2</v>
      </c>
      <c r="D116" s="5">
        <v>1649.5</v>
      </c>
      <c r="E116" s="6">
        <f t="shared" si="7"/>
        <v>-1.3952320604480928E-2</v>
      </c>
      <c r="F116" s="7">
        <v>5.1390000000000005E-2</v>
      </c>
      <c r="G116" s="7">
        <f t="shared" si="4"/>
        <v>9.6417794849412708E-4</v>
      </c>
      <c r="H116" s="9">
        <f t="shared" si="5"/>
        <v>1.0535822051505873E-2</v>
      </c>
      <c r="I116" s="11">
        <f t="shared" si="6"/>
        <v>-1.4916498552975055E-2</v>
      </c>
    </row>
    <row r="117" spans="1:9" x14ac:dyDescent="0.3">
      <c r="A117" s="1">
        <v>41077</v>
      </c>
      <c r="B117" s="5">
        <v>5080</v>
      </c>
      <c r="C117" s="3">
        <v>-3.9699999999999999E-2</v>
      </c>
      <c r="D117" s="5">
        <v>1633.51</v>
      </c>
      <c r="E117" s="6">
        <f t="shared" si="7"/>
        <v>-9.693846620187907E-3</v>
      </c>
      <c r="F117" s="7">
        <v>5.1409999999999997E-2</v>
      </c>
      <c r="G117" s="7">
        <f t="shared" si="4"/>
        <v>9.6454411388569028E-4</v>
      </c>
      <c r="H117" s="9">
        <f t="shared" si="5"/>
        <v>-4.0664544113885689E-2</v>
      </c>
      <c r="I117" s="11">
        <f t="shared" si="6"/>
        <v>-1.0658390734073597E-2</v>
      </c>
    </row>
    <row r="118" spans="1:9" x14ac:dyDescent="0.3">
      <c r="A118" s="1">
        <v>41084</v>
      </c>
      <c r="B118" s="5">
        <v>4985</v>
      </c>
      <c r="C118" s="3">
        <v>-1.8700000000000001E-2</v>
      </c>
      <c r="D118" s="5">
        <v>1640.01</v>
      </c>
      <c r="E118" s="6">
        <f t="shared" si="7"/>
        <v>3.9791614376403217E-3</v>
      </c>
      <c r="F118" s="7">
        <v>4.931E-2</v>
      </c>
      <c r="G118" s="7">
        <f t="shared" si="4"/>
        <v>9.260593996043287E-4</v>
      </c>
      <c r="H118" s="9">
        <f t="shared" si="5"/>
        <v>-1.962605939960433E-2</v>
      </c>
      <c r="I118" s="11">
        <f t="shared" si="6"/>
        <v>3.053102038035993E-3</v>
      </c>
    </row>
    <row r="119" spans="1:9" x14ac:dyDescent="0.3">
      <c r="A119" s="1">
        <v>41091</v>
      </c>
      <c r="B119" s="5">
        <v>5000</v>
      </c>
      <c r="C119" s="3">
        <v>3.0000000000000001E-3</v>
      </c>
      <c r="D119" s="5">
        <v>1667.44</v>
      </c>
      <c r="E119" s="6">
        <f t="shared" si="7"/>
        <v>1.6725507771294224E-2</v>
      </c>
      <c r="F119" s="7">
        <v>4.7960000000000003E-2</v>
      </c>
      <c r="G119" s="7">
        <f t="shared" si="4"/>
        <v>9.0127931662853378E-4</v>
      </c>
      <c r="H119" s="9">
        <f t="shared" si="5"/>
        <v>2.0987206833714663E-3</v>
      </c>
      <c r="I119" s="11">
        <f t="shared" si="6"/>
        <v>1.582422845466569E-2</v>
      </c>
    </row>
    <row r="120" spans="1:9" x14ac:dyDescent="0.3">
      <c r="A120" s="1">
        <v>41098</v>
      </c>
      <c r="B120" s="5">
        <v>4970</v>
      </c>
      <c r="C120" s="3">
        <v>-6.0000000000000001E-3</v>
      </c>
      <c r="D120" s="5">
        <v>1657.84</v>
      </c>
      <c r="E120" s="6">
        <f t="shared" si="7"/>
        <v>-5.7573285995299317E-3</v>
      </c>
      <c r="F120" s="7">
        <v>4.7660000000000001E-2</v>
      </c>
      <c r="G120" s="7">
        <f t="shared" si="4"/>
        <v>8.9576837991289793E-4</v>
      </c>
      <c r="H120" s="9">
        <f t="shared" si="5"/>
        <v>-6.8957683799128981E-3</v>
      </c>
      <c r="I120" s="11">
        <f t="shared" si="6"/>
        <v>-6.6530969794428296E-3</v>
      </c>
    </row>
    <row r="121" spans="1:9" x14ac:dyDescent="0.3">
      <c r="A121" s="1">
        <v>41105</v>
      </c>
      <c r="B121" s="5">
        <v>4985</v>
      </c>
      <c r="C121" s="3">
        <v>3.0000000000000001E-3</v>
      </c>
      <c r="D121" s="5">
        <v>1671.02</v>
      </c>
      <c r="E121" s="6">
        <f t="shared" si="7"/>
        <v>7.9501037494571491E-3</v>
      </c>
      <c r="F121" s="7">
        <v>4.7960000000000003E-2</v>
      </c>
      <c r="G121" s="7">
        <f t="shared" si="4"/>
        <v>9.0127931662853378E-4</v>
      </c>
      <c r="H121" s="9">
        <f t="shared" si="5"/>
        <v>2.0987206833714663E-3</v>
      </c>
      <c r="I121" s="11">
        <f t="shared" si="6"/>
        <v>7.0488244328286154E-3</v>
      </c>
    </row>
    <row r="122" spans="1:9" x14ac:dyDescent="0.3">
      <c r="A122" s="1">
        <v>41112</v>
      </c>
      <c r="B122" s="5">
        <v>5140</v>
      </c>
      <c r="C122" s="3">
        <v>3.1099999999999999E-2</v>
      </c>
      <c r="D122" s="5">
        <v>1684.97</v>
      </c>
      <c r="E122" s="6">
        <f t="shared" si="7"/>
        <v>8.3481945159245008E-3</v>
      </c>
      <c r="F122" s="7">
        <v>4.6210000000000001E-2</v>
      </c>
      <c r="G122" s="7">
        <f t="shared" si="4"/>
        <v>8.6911034830006173E-4</v>
      </c>
      <c r="H122" s="9">
        <f t="shared" si="5"/>
        <v>3.0230889651699937E-2</v>
      </c>
      <c r="I122" s="11">
        <f t="shared" si="6"/>
        <v>7.4790841676244391E-3</v>
      </c>
    </row>
    <row r="123" spans="1:9" x14ac:dyDescent="0.3">
      <c r="A123" s="1">
        <v>41119</v>
      </c>
      <c r="B123" s="5">
        <v>5290</v>
      </c>
      <c r="C123" s="3">
        <v>2.92E-2</v>
      </c>
      <c r="D123" s="5">
        <v>1644.62</v>
      </c>
      <c r="E123" s="6">
        <f t="shared" si="7"/>
        <v>-2.3947013893422464E-2</v>
      </c>
      <c r="F123" s="7">
        <v>4.5749999999999999E-2</v>
      </c>
      <c r="G123" s="7">
        <f t="shared" si="4"/>
        <v>8.6064574588595733E-4</v>
      </c>
      <c r="H123" s="9">
        <f t="shared" si="5"/>
        <v>2.8339354254114043E-2</v>
      </c>
      <c r="I123" s="11">
        <f t="shared" si="6"/>
        <v>-2.4807659639308421E-2</v>
      </c>
    </row>
    <row r="124" spans="1:9" x14ac:dyDescent="0.3">
      <c r="A124" s="1">
        <v>41126</v>
      </c>
      <c r="B124" s="5">
        <v>5310</v>
      </c>
      <c r="C124" s="3">
        <v>3.8E-3</v>
      </c>
      <c r="D124" s="5">
        <v>1661.68</v>
      </c>
      <c r="E124" s="6">
        <f t="shared" si="7"/>
        <v>1.0373216913329708E-2</v>
      </c>
      <c r="F124" s="7">
        <v>4.5080000000000002E-2</v>
      </c>
      <c r="G124" s="7">
        <f t="shared" si="4"/>
        <v>8.4831033320620364E-4</v>
      </c>
      <c r="H124" s="9">
        <f t="shared" si="5"/>
        <v>2.9516896667937964E-3</v>
      </c>
      <c r="I124" s="11">
        <f t="shared" si="6"/>
        <v>9.5249065801235044E-3</v>
      </c>
    </row>
    <row r="125" spans="1:9" x14ac:dyDescent="0.3">
      <c r="A125" s="1">
        <v>41133</v>
      </c>
      <c r="B125" s="5">
        <v>5430</v>
      </c>
      <c r="C125" s="3">
        <v>2.2599999999999999E-2</v>
      </c>
      <c r="D125" s="5">
        <v>1686.75</v>
      </c>
      <c r="E125" s="6">
        <f t="shared" si="7"/>
        <v>1.5087140725049242E-2</v>
      </c>
      <c r="F125" s="7">
        <v>4.53E-2</v>
      </c>
      <c r="G125" s="7">
        <f t="shared" si="4"/>
        <v>8.5236162227486645E-4</v>
      </c>
      <c r="H125" s="9">
        <f t="shared" si="5"/>
        <v>2.1747638377725132E-2</v>
      </c>
      <c r="I125" s="11">
        <f t="shared" si="6"/>
        <v>1.4234779102774375E-2</v>
      </c>
    </row>
    <row r="126" spans="1:9" x14ac:dyDescent="0.3">
      <c r="A126" s="1">
        <v>41140</v>
      </c>
      <c r="B126" s="5">
        <v>5330</v>
      </c>
      <c r="C126" s="3">
        <v>-1.84E-2</v>
      </c>
      <c r="D126" s="5">
        <v>1672.59</v>
      </c>
      <c r="E126" s="6">
        <f t="shared" si="7"/>
        <v>-8.3948421520676497E-3</v>
      </c>
      <c r="F126" s="7">
        <v>4.4809999999999996E-2</v>
      </c>
      <c r="G126" s="7">
        <f t="shared" si="4"/>
        <v>8.433371532796663E-4</v>
      </c>
      <c r="H126" s="9">
        <f t="shared" si="5"/>
        <v>-1.9243337153279666E-2</v>
      </c>
      <c r="I126" s="11">
        <f t="shared" si="6"/>
        <v>-9.238179305347316E-3</v>
      </c>
    </row>
    <row r="127" spans="1:9" x14ac:dyDescent="0.3">
      <c r="A127" s="1">
        <v>41147</v>
      </c>
      <c r="B127" s="5">
        <v>5270</v>
      </c>
      <c r="C127" s="3">
        <v>-1.1299999999999999E-2</v>
      </c>
      <c r="D127" s="5">
        <v>1668.5</v>
      </c>
      <c r="E127" s="6">
        <f t="shared" si="7"/>
        <v>-2.4453093704972506E-3</v>
      </c>
      <c r="F127" s="7">
        <v>4.5199999999999997E-2</v>
      </c>
      <c r="G127" s="7">
        <f t="shared" si="4"/>
        <v>8.5052023092258011E-4</v>
      </c>
      <c r="H127" s="9">
        <f t="shared" si="5"/>
        <v>-1.2150520230922579E-2</v>
      </c>
      <c r="I127" s="11">
        <f t="shared" si="6"/>
        <v>-3.2958296014198307E-3</v>
      </c>
    </row>
    <row r="128" spans="1:9" x14ac:dyDescent="0.3">
      <c r="A128" s="1">
        <v>41154</v>
      </c>
      <c r="B128" s="5">
        <v>5280</v>
      </c>
      <c r="C128" s="3">
        <v>1.9E-3</v>
      </c>
      <c r="D128" s="5">
        <v>1689.54</v>
      </c>
      <c r="E128" s="6">
        <f t="shared" si="7"/>
        <v>1.2610128858255854E-2</v>
      </c>
      <c r="F128" s="7">
        <v>4.5970000000000004E-2</v>
      </c>
      <c r="G128" s="7">
        <f t="shared" si="4"/>
        <v>8.6469448950809991E-4</v>
      </c>
      <c r="H128" s="9">
        <f t="shared" si="5"/>
        <v>1.0353055104919001E-3</v>
      </c>
      <c r="I128" s="11">
        <f t="shared" si="6"/>
        <v>1.1745434368747754E-2</v>
      </c>
    </row>
    <row r="129" spans="1:9" x14ac:dyDescent="0.3">
      <c r="A129" s="1">
        <v>41161</v>
      </c>
      <c r="B129" s="5">
        <v>5300</v>
      </c>
      <c r="C129" s="3">
        <v>3.8E-3</v>
      </c>
      <c r="D129" s="5">
        <v>1708.52</v>
      </c>
      <c r="E129" s="6">
        <f t="shared" si="7"/>
        <v>1.123382695881725E-2</v>
      </c>
      <c r="F129" s="7">
        <v>4.4310000000000002E-2</v>
      </c>
      <c r="G129" s="7">
        <f t="shared" si="4"/>
        <v>8.3412423155437843E-4</v>
      </c>
      <c r="H129" s="9">
        <f t="shared" si="5"/>
        <v>2.9658757684456216E-3</v>
      </c>
      <c r="I129" s="11">
        <f t="shared" si="6"/>
        <v>1.0399702727262872E-2</v>
      </c>
    </row>
    <row r="130" spans="1:9" x14ac:dyDescent="0.3">
      <c r="A130" s="1">
        <v>41168</v>
      </c>
      <c r="B130" s="5">
        <v>5300</v>
      </c>
      <c r="C130" s="3">
        <v>0</v>
      </c>
      <c r="D130" s="5">
        <v>1709.38</v>
      </c>
      <c r="E130" s="6">
        <f t="shared" si="7"/>
        <v>5.0335963289871444E-4</v>
      </c>
      <c r="F130" s="7">
        <v>4.6879999999999998E-2</v>
      </c>
      <c r="G130" s="7">
        <f t="shared" si="4"/>
        <v>8.8143269789986434E-4</v>
      </c>
      <c r="H130" s="9">
        <f t="shared" si="5"/>
        <v>-8.8143269789986434E-4</v>
      </c>
      <c r="I130" s="11">
        <f t="shared" si="6"/>
        <v>-3.780730650011499E-4</v>
      </c>
    </row>
    <row r="131" spans="1:9" x14ac:dyDescent="0.3">
      <c r="A131" s="1">
        <v>41175</v>
      </c>
      <c r="B131" s="5">
        <v>5300</v>
      </c>
      <c r="C131" s="3">
        <v>0</v>
      </c>
      <c r="D131" s="5">
        <v>1681.08</v>
      </c>
      <c r="E131" s="6">
        <f t="shared" si="7"/>
        <v>-1.655571025752034E-2</v>
      </c>
      <c r="F131" s="7">
        <v>4.6399999999999997E-2</v>
      </c>
      <c r="G131" s="7">
        <f t="shared" ref="G131:G194" si="8">(1+F131)^(1/52)-1</f>
        <v>8.7260553196522039E-4</v>
      </c>
      <c r="H131" s="9">
        <f t="shared" ref="H131:H194" si="9">C131-G131</f>
        <v>-8.7260553196522039E-4</v>
      </c>
      <c r="I131" s="11">
        <f t="shared" ref="I131:I194" si="10">E131-G131</f>
        <v>-1.742831578948556E-2</v>
      </c>
    </row>
    <row r="132" spans="1:9" x14ac:dyDescent="0.3">
      <c r="A132" s="1">
        <v>41182</v>
      </c>
      <c r="B132" s="5">
        <v>5340</v>
      </c>
      <c r="C132" s="3">
        <v>7.4999999999999997E-3</v>
      </c>
      <c r="D132" s="5">
        <v>1704.62</v>
      </c>
      <c r="E132" s="6">
        <f t="shared" ref="E132:E195" si="11">D132/D131-1</f>
        <v>1.4002902895757563E-2</v>
      </c>
      <c r="F132" s="7">
        <v>4.5949999999999998E-2</v>
      </c>
      <c r="G132" s="7">
        <f t="shared" si="8"/>
        <v>8.6432645642009476E-4</v>
      </c>
      <c r="H132" s="9">
        <f t="shared" si="9"/>
        <v>6.635673543579905E-3</v>
      </c>
      <c r="I132" s="11">
        <f t="shared" si="10"/>
        <v>1.3138576439337468E-2</v>
      </c>
    </row>
    <row r="133" spans="1:9" x14ac:dyDescent="0.3">
      <c r="A133" s="1">
        <v>41189</v>
      </c>
      <c r="B133" s="5">
        <v>5460</v>
      </c>
      <c r="C133" s="3">
        <v>2.2499999999999999E-2</v>
      </c>
      <c r="D133" s="5">
        <v>1706.5</v>
      </c>
      <c r="E133" s="6">
        <f t="shared" si="11"/>
        <v>1.1028851004917239E-3</v>
      </c>
      <c r="F133" s="7">
        <v>4.5730000000000007E-2</v>
      </c>
      <c r="G133" s="7">
        <f t="shared" si="8"/>
        <v>8.6027763686136183E-4</v>
      </c>
      <c r="H133" s="9">
        <f t="shared" si="9"/>
        <v>2.1639722363138637E-2</v>
      </c>
      <c r="I133" s="11">
        <f t="shared" si="10"/>
        <v>2.4260746363036212E-4</v>
      </c>
    </row>
    <row r="134" spans="1:9" x14ac:dyDescent="0.3">
      <c r="A134" s="1">
        <v>41196</v>
      </c>
      <c r="B134" s="5">
        <v>5710</v>
      </c>
      <c r="C134" s="3">
        <v>4.58E-2</v>
      </c>
      <c r="D134" s="5">
        <v>1780.11</v>
      </c>
      <c r="E134" s="6">
        <f t="shared" si="11"/>
        <v>4.313507178435394E-2</v>
      </c>
      <c r="F134" s="7">
        <v>4.6050000000000008E-2</v>
      </c>
      <c r="G134" s="7">
        <f t="shared" si="8"/>
        <v>8.6616655284466049E-4</v>
      </c>
      <c r="H134" s="9">
        <f t="shared" si="9"/>
        <v>4.493383344715534E-2</v>
      </c>
      <c r="I134" s="11">
        <f t="shared" si="10"/>
        <v>4.2268905231509279E-2</v>
      </c>
    </row>
    <row r="135" spans="1:9" x14ac:dyDescent="0.3">
      <c r="A135" s="1">
        <v>41203</v>
      </c>
      <c r="B135" s="5">
        <v>5790</v>
      </c>
      <c r="C135" s="3">
        <v>1.4E-2</v>
      </c>
      <c r="D135" s="5">
        <v>1830.06</v>
      </c>
      <c r="E135" s="6">
        <f t="shared" si="11"/>
        <v>2.8060063703928328E-2</v>
      </c>
      <c r="F135" s="7">
        <v>4.7720000000000005E-2</v>
      </c>
      <c r="G135" s="7">
        <f t="shared" si="8"/>
        <v>8.9687069106303419E-4</v>
      </c>
      <c r="H135" s="9">
        <f t="shared" si="9"/>
        <v>1.3103129308936966E-2</v>
      </c>
      <c r="I135" s="11">
        <f t="shared" si="10"/>
        <v>2.7163193012865294E-2</v>
      </c>
    </row>
    <row r="136" spans="1:9" x14ac:dyDescent="0.3">
      <c r="A136" s="1">
        <v>41210</v>
      </c>
      <c r="B136" s="5">
        <v>5290</v>
      </c>
      <c r="C136" s="3">
        <v>-8.6400000000000005E-2</v>
      </c>
      <c r="D136" s="5">
        <v>1754.39</v>
      </c>
      <c r="E136" s="6">
        <f t="shared" si="11"/>
        <v>-4.134837109165812E-2</v>
      </c>
      <c r="F136" s="7">
        <v>4.7910000000000001E-2</v>
      </c>
      <c r="G136" s="7">
        <f t="shared" si="8"/>
        <v>9.0036093463452538E-4</v>
      </c>
      <c r="H136" s="9">
        <f t="shared" si="9"/>
        <v>-8.730036093463453E-2</v>
      </c>
      <c r="I136" s="11">
        <f t="shared" si="10"/>
        <v>-4.2248732026292646E-2</v>
      </c>
    </row>
    <row r="137" spans="1:9" x14ac:dyDescent="0.3">
      <c r="A137" s="1">
        <v>41217</v>
      </c>
      <c r="B137" s="5">
        <v>5190</v>
      </c>
      <c r="C137" s="3">
        <v>-1.89E-2</v>
      </c>
      <c r="D137" s="5">
        <v>1749.79</v>
      </c>
      <c r="E137" s="6">
        <f t="shared" si="11"/>
        <v>-2.6219939694139827E-3</v>
      </c>
      <c r="F137" s="7">
        <v>4.965E-2</v>
      </c>
      <c r="G137" s="7">
        <f t="shared" si="8"/>
        <v>9.3229538026751158E-4</v>
      </c>
      <c r="H137" s="9">
        <f t="shared" si="9"/>
        <v>-1.9832295380267512E-2</v>
      </c>
      <c r="I137" s="11">
        <f t="shared" si="10"/>
        <v>-3.5542893496814942E-3</v>
      </c>
    </row>
    <row r="138" spans="1:9" x14ac:dyDescent="0.3">
      <c r="A138" s="1">
        <v>41224</v>
      </c>
      <c r="B138" s="5">
        <v>5280</v>
      </c>
      <c r="C138" s="3">
        <v>1.7299999999999999E-2</v>
      </c>
      <c r="D138" s="5">
        <v>1739.37</v>
      </c>
      <c r="E138" s="6">
        <f t="shared" si="11"/>
        <v>-5.9550003143234997E-3</v>
      </c>
      <c r="F138" s="7">
        <v>5.2359999999999997E-2</v>
      </c>
      <c r="G138" s="7">
        <f t="shared" si="8"/>
        <v>9.8192910587235893E-4</v>
      </c>
      <c r="H138" s="9">
        <f t="shared" si="9"/>
        <v>1.631807089412764E-2</v>
      </c>
      <c r="I138" s="11">
        <f t="shared" si="10"/>
        <v>-6.9369294201958587E-3</v>
      </c>
    </row>
    <row r="139" spans="1:9" x14ac:dyDescent="0.3">
      <c r="A139" s="1">
        <v>41231</v>
      </c>
      <c r="B139" s="5">
        <v>5360</v>
      </c>
      <c r="C139" s="3">
        <v>1.52E-2</v>
      </c>
      <c r="D139" s="5">
        <v>1746.28</v>
      </c>
      <c r="E139" s="6">
        <f t="shared" si="11"/>
        <v>3.9727027601947906E-3</v>
      </c>
      <c r="F139" s="7">
        <v>6.0240000000000002E-2</v>
      </c>
      <c r="G139" s="7">
        <f t="shared" si="8"/>
        <v>1.1255425171274869E-3</v>
      </c>
      <c r="H139" s="9">
        <f t="shared" si="9"/>
        <v>1.4074457482872513E-2</v>
      </c>
      <c r="I139" s="11">
        <f t="shared" si="10"/>
        <v>2.8471602430673038E-3</v>
      </c>
    </row>
    <row r="140" spans="1:9" x14ac:dyDescent="0.3">
      <c r="A140" s="1">
        <v>41238</v>
      </c>
      <c r="B140" s="5">
        <v>5290</v>
      </c>
      <c r="C140" s="3">
        <v>-1.3100000000000001E-2</v>
      </c>
      <c r="D140" s="5">
        <v>1759.53</v>
      </c>
      <c r="E140" s="6">
        <f t="shared" si="11"/>
        <v>7.5875575509081195E-3</v>
      </c>
      <c r="F140" s="7">
        <v>6.1189999999999994E-2</v>
      </c>
      <c r="G140" s="7">
        <f t="shared" si="8"/>
        <v>1.1427855581855884E-3</v>
      </c>
      <c r="H140" s="9">
        <f t="shared" si="9"/>
        <v>-1.4242785558185589E-2</v>
      </c>
      <c r="I140" s="11">
        <f t="shared" si="10"/>
        <v>6.4447719927225311E-3</v>
      </c>
    </row>
    <row r="141" spans="1:9" x14ac:dyDescent="0.3">
      <c r="A141" s="1">
        <v>41245</v>
      </c>
      <c r="B141" s="5">
        <v>5230</v>
      </c>
      <c r="C141" s="3">
        <v>-1.1299999999999999E-2</v>
      </c>
      <c r="D141" s="5">
        <v>1800.19</v>
      </c>
      <c r="E141" s="6">
        <f t="shared" si="11"/>
        <v>2.3108443732133166E-2</v>
      </c>
      <c r="F141" s="7">
        <v>6.4299999999999996E-2</v>
      </c>
      <c r="G141" s="7">
        <f t="shared" si="8"/>
        <v>1.1991281119019259E-3</v>
      </c>
      <c r="H141" s="9">
        <f t="shared" si="9"/>
        <v>-1.2499128111901925E-2</v>
      </c>
      <c r="I141" s="11">
        <f t="shared" si="10"/>
        <v>2.190931562023124E-2</v>
      </c>
    </row>
    <row r="142" spans="1:9" x14ac:dyDescent="0.3">
      <c r="A142" s="1">
        <v>41252</v>
      </c>
      <c r="B142" s="5">
        <v>5340</v>
      </c>
      <c r="C142" s="3">
        <v>2.1000000000000001E-2</v>
      </c>
      <c r="D142" s="5">
        <v>1806.78</v>
      </c>
      <c r="E142" s="6">
        <f t="shared" si="11"/>
        <v>3.6607247012814259E-3</v>
      </c>
      <c r="F142" s="7">
        <v>6.3990000000000005E-2</v>
      </c>
      <c r="G142" s="7">
        <f t="shared" si="8"/>
        <v>1.1935192236083303E-3</v>
      </c>
      <c r="H142" s="9">
        <f t="shared" si="9"/>
        <v>1.9806480776391671E-2</v>
      </c>
      <c r="I142" s="11">
        <f t="shared" si="10"/>
        <v>2.4672054776730956E-3</v>
      </c>
    </row>
    <row r="143" spans="1:9" x14ac:dyDescent="0.3">
      <c r="A143" s="1">
        <v>41259</v>
      </c>
      <c r="B143" s="5">
        <v>5400</v>
      </c>
      <c r="C143" s="3">
        <v>1.12E-2</v>
      </c>
      <c r="D143" s="5">
        <v>1814.73</v>
      </c>
      <c r="E143" s="6">
        <f t="shared" si="11"/>
        <v>4.4000929830969593E-3</v>
      </c>
      <c r="F143" s="7">
        <v>6.4430000000000001E-2</v>
      </c>
      <c r="G143" s="7">
        <f t="shared" si="8"/>
        <v>1.2014797495101259E-3</v>
      </c>
      <c r="H143" s="9">
        <f t="shared" si="9"/>
        <v>9.998520250489874E-3</v>
      </c>
      <c r="I143" s="11">
        <f t="shared" si="10"/>
        <v>3.1986132335868334E-3</v>
      </c>
    </row>
    <row r="144" spans="1:9" x14ac:dyDescent="0.3">
      <c r="A144" s="1">
        <v>41266</v>
      </c>
      <c r="B144" s="5">
        <v>5460</v>
      </c>
      <c r="C144" s="3">
        <v>1.11E-2</v>
      </c>
      <c r="D144" s="5">
        <v>1832.75</v>
      </c>
      <c r="E144" s="6">
        <f t="shared" si="11"/>
        <v>9.9298518236872191E-3</v>
      </c>
      <c r="F144" s="7">
        <v>6.3739999999999991E-2</v>
      </c>
      <c r="G144" s="7">
        <f t="shared" si="8"/>
        <v>1.1889947590126848E-3</v>
      </c>
      <c r="H144" s="9">
        <f t="shared" si="9"/>
        <v>9.9110052409873157E-3</v>
      </c>
      <c r="I144" s="11">
        <f t="shared" si="10"/>
        <v>8.7408570646745343E-3</v>
      </c>
    </row>
    <row r="145" spans="1:9" x14ac:dyDescent="0.3">
      <c r="A145" s="1">
        <v>41273</v>
      </c>
      <c r="B145" s="5">
        <v>5520</v>
      </c>
      <c r="C145" s="3">
        <v>1.0999999999999999E-2</v>
      </c>
      <c r="D145" s="5">
        <v>1848.41</v>
      </c>
      <c r="E145" s="6">
        <f t="shared" si="11"/>
        <v>8.5445368981040826E-3</v>
      </c>
      <c r="F145" s="7">
        <v>6.3619999999999996E-2</v>
      </c>
      <c r="G145" s="7">
        <f t="shared" si="8"/>
        <v>1.1868226455595821E-3</v>
      </c>
      <c r="H145" s="9">
        <f t="shared" si="9"/>
        <v>9.8131773544404173E-3</v>
      </c>
      <c r="I145" s="11">
        <f t="shared" si="10"/>
        <v>7.3577142525445005E-3</v>
      </c>
    </row>
    <row r="146" spans="1:9" x14ac:dyDescent="0.3">
      <c r="A146" s="1">
        <v>41280</v>
      </c>
      <c r="B146" s="5">
        <v>5450</v>
      </c>
      <c r="C146" s="3">
        <v>-1.2699999999999999E-2</v>
      </c>
      <c r="D146" s="5">
        <v>1837.01</v>
      </c>
      <c r="E146" s="6">
        <f t="shared" si="11"/>
        <v>-6.1674628464464254E-3</v>
      </c>
      <c r="F146" s="7">
        <v>6.5540000000000001E-2</v>
      </c>
      <c r="G146" s="7">
        <f t="shared" si="8"/>
        <v>1.2215476536947545E-3</v>
      </c>
      <c r="H146" s="9">
        <f t="shared" si="9"/>
        <v>-1.3921547653694754E-2</v>
      </c>
      <c r="I146" s="11">
        <f t="shared" si="10"/>
        <v>-7.3890105001411799E-3</v>
      </c>
    </row>
    <row r="147" spans="1:9" x14ac:dyDescent="0.3">
      <c r="A147" s="1">
        <v>41287</v>
      </c>
      <c r="B147" s="5">
        <v>5490</v>
      </c>
      <c r="C147" s="3">
        <v>7.3000000000000001E-3</v>
      </c>
      <c r="D147" s="5">
        <v>1845.22</v>
      </c>
      <c r="E147" s="6">
        <f t="shared" si="11"/>
        <v>4.4692190026183187E-3</v>
      </c>
      <c r="F147" s="7">
        <v>6.5419999999999992E-2</v>
      </c>
      <c r="G147" s="7">
        <f t="shared" si="8"/>
        <v>1.2193791392560716E-3</v>
      </c>
      <c r="H147" s="9">
        <f t="shared" si="9"/>
        <v>6.0806208607439285E-3</v>
      </c>
      <c r="I147" s="11">
        <f t="shared" si="10"/>
        <v>3.2498398633622472E-3</v>
      </c>
    </row>
    <row r="148" spans="1:9" x14ac:dyDescent="0.3">
      <c r="A148" s="1">
        <v>41294</v>
      </c>
      <c r="B148" s="5">
        <v>5600</v>
      </c>
      <c r="C148" s="3">
        <v>0.02</v>
      </c>
      <c r="D148" s="5">
        <v>1866.62</v>
      </c>
      <c r="E148" s="6">
        <f t="shared" si="11"/>
        <v>1.1597533085485612E-2</v>
      </c>
      <c r="F148" s="7">
        <v>6.5939999999999999E-2</v>
      </c>
      <c r="G148" s="7">
        <f t="shared" si="8"/>
        <v>1.228774305690461E-3</v>
      </c>
      <c r="H148" s="9">
        <f t="shared" si="9"/>
        <v>1.8771225694309539E-2</v>
      </c>
      <c r="I148" s="11">
        <f t="shared" si="10"/>
        <v>1.0368758779795151E-2</v>
      </c>
    </row>
    <row r="149" spans="1:9" x14ac:dyDescent="0.3">
      <c r="A149" s="1">
        <v>41301</v>
      </c>
      <c r="B149" s="5">
        <v>5650</v>
      </c>
      <c r="C149" s="3">
        <v>8.8999999999999999E-3</v>
      </c>
      <c r="D149" s="5">
        <v>1878.38</v>
      </c>
      <c r="E149" s="6">
        <f t="shared" si="11"/>
        <v>6.3001575039376423E-3</v>
      </c>
      <c r="F149" s="7">
        <v>6.6390000000000005E-2</v>
      </c>
      <c r="G149" s="7">
        <f t="shared" si="8"/>
        <v>1.2369011107069561E-3</v>
      </c>
      <c r="H149" s="9">
        <f t="shared" si="9"/>
        <v>7.6630988892930438E-3</v>
      </c>
      <c r="I149" s="11">
        <f t="shared" si="10"/>
        <v>5.0632563932306862E-3</v>
      </c>
    </row>
    <row r="150" spans="1:9" x14ac:dyDescent="0.3">
      <c r="A150" s="1">
        <v>41308</v>
      </c>
      <c r="B150" s="5">
        <v>5500</v>
      </c>
      <c r="C150" s="3">
        <v>-2.6499999999999999E-2</v>
      </c>
      <c r="D150" s="5">
        <v>1870.73</v>
      </c>
      <c r="E150" s="6">
        <f t="shared" si="11"/>
        <v>-4.0726583545396267E-3</v>
      </c>
      <c r="F150" s="7">
        <v>6.7510000000000001E-2</v>
      </c>
      <c r="G150" s="7">
        <f t="shared" si="8"/>
        <v>1.2571132313630162E-3</v>
      </c>
      <c r="H150" s="9">
        <f t="shared" si="9"/>
        <v>-2.7757113231363015E-2</v>
      </c>
      <c r="I150" s="11">
        <f t="shared" si="10"/>
        <v>-5.3297715859026429E-3</v>
      </c>
    </row>
    <row r="151" spans="1:9" x14ac:dyDescent="0.3">
      <c r="A151" s="1">
        <v>41315</v>
      </c>
      <c r="B151" s="5">
        <v>5410</v>
      </c>
      <c r="C151" s="3">
        <v>-1.6400000000000001E-2</v>
      </c>
      <c r="D151" s="5">
        <v>1859.54</v>
      </c>
      <c r="E151" s="6">
        <f t="shared" si="11"/>
        <v>-5.9816221475039733E-3</v>
      </c>
      <c r="F151" s="7">
        <v>6.8280000000000007E-2</v>
      </c>
      <c r="G151" s="7">
        <f t="shared" si="8"/>
        <v>1.2709970033528695E-3</v>
      </c>
      <c r="H151" s="9">
        <f t="shared" si="9"/>
        <v>-1.7670997003352871E-2</v>
      </c>
      <c r="I151" s="11">
        <f t="shared" si="10"/>
        <v>-7.2526191508568427E-3</v>
      </c>
    </row>
    <row r="152" spans="1:9" x14ac:dyDescent="0.3">
      <c r="A152" s="1">
        <v>41322</v>
      </c>
      <c r="B152" s="5">
        <v>5240</v>
      </c>
      <c r="C152" s="3">
        <v>-3.1399999999999997E-2</v>
      </c>
      <c r="D152" s="5">
        <v>1851.93</v>
      </c>
      <c r="E152" s="6">
        <f t="shared" si="11"/>
        <v>-4.0924099508480305E-3</v>
      </c>
      <c r="F152" s="7">
        <v>6.9970000000000004E-2</v>
      </c>
      <c r="G152" s="7">
        <f t="shared" si="8"/>
        <v>1.3014347994855235E-3</v>
      </c>
      <c r="H152" s="9">
        <f t="shared" si="9"/>
        <v>-3.2701434799485521E-2</v>
      </c>
      <c r="I152" s="11">
        <f t="shared" si="10"/>
        <v>-5.393844750333554E-3</v>
      </c>
    </row>
    <row r="153" spans="1:9" x14ac:dyDescent="0.3">
      <c r="A153" s="1">
        <v>41329</v>
      </c>
      <c r="B153" s="5">
        <v>5200</v>
      </c>
      <c r="C153" s="3">
        <v>-7.6E-3</v>
      </c>
      <c r="D153" s="5">
        <v>1839.74</v>
      </c>
      <c r="E153" s="6">
        <f t="shared" si="11"/>
        <v>-6.5823222260020797E-3</v>
      </c>
      <c r="F153" s="7">
        <v>6.6720000000000002E-2</v>
      </c>
      <c r="G153" s="7">
        <f t="shared" si="8"/>
        <v>1.2428586303521172E-3</v>
      </c>
      <c r="H153" s="9">
        <f t="shared" si="9"/>
        <v>-8.8428586303521163E-3</v>
      </c>
      <c r="I153" s="11">
        <f t="shared" si="10"/>
        <v>-7.8251808563541969E-3</v>
      </c>
    </row>
    <row r="154" spans="1:9" x14ac:dyDescent="0.3">
      <c r="A154" s="1">
        <v>41336</v>
      </c>
      <c r="B154" s="5">
        <v>5140</v>
      </c>
      <c r="C154" s="3">
        <v>-1.15E-2</v>
      </c>
      <c r="D154" s="5">
        <v>1792.26</v>
      </c>
      <c r="E154" s="6">
        <f t="shared" si="11"/>
        <v>-2.5807994607933704E-2</v>
      </c>
      <c r="F154" s="7">
        <v>6.5479999999999997E-2</v>
      </c>
      <c r="G154" s="7">
        <f t="shared" si="8"/>
        <v>1.2204634264170178E-3</v>
      </c>
      <c r="H154" s="9">
        <f t="shared" si="9"/>
        <v>-1.2720463426417018E-2</v>
      </c>
      <c r="I154" s="11">
        <f t="shared" si="10"/>
        <v>-2.7028458034350722E-2</v>
      </c>
    </row>
    <row r="155" spans="1:9" x14ac:dyDescent="0.3">
      <c r="A155" s="1">
        <v>41343</v>
      </c>
      <c r="B155" s="5">
        <v>5100</v>
      </c>
      <c r="C155" s="3">
        <v>-7.7999999999999996E-3</v>
      </c>
      <c r="D155" s="5">
        <v>1806.67</v>
      </c>
      <c r="E155" s="6">
        <f t="shared" si="11"/>
        <v>8.0401281064130803E-3</v>
      </c>
      <c r="F155" s="7">
        <v>6.5430000000000002E-2</v>
      </c>
      <c r="G155" s="7">
        <f t="shared" si="8"/>
        <v>1.2195598579418654E-3</v>
      </c>
      <c r="H155" s="9">
        <f t="shared" si="9"/>
        <v>-9.019559857941865E-3</v>
      </c>
      <c r="I155" s="11">
        <f t="shared" si="10"/>
        <v>6.8205682484712149E-3</v>
      </c>
    </row>
    <row r="156" spans="1:9" x14ac:dyDescent="0.3">
      <c r="A156" s="1">
        <v>41350</v>
      </c>
      <c r="B156" s="5">
        <v>5030</v>
      </c>
      <c r="C156" s="3">
        <v>-1.37E-2</v>
      </c>
      <c r="D156" s="5">
        <v>1760.05</v>
      </c>
      <c r="E156" s="6">
        <f t="shared" si="11"/>
        <v>-2.5804380434722551E-2</v>
      </c>
      <c r="F156" s="7">
        <v>6.5659999999999996E-2</v>
      </c>
      <c r="G156" s="7">
        <f t="shared" si="8"/>
        <v>1.2237159286274668E-3</v>
      </c>
      <c r="H156" s="9">
        <f t="shared" si="9"/>
        <v>-1.4923715928627467E-2</v>
      </c>
      <c r="I156" s="11">
        <f t="shared" si="10"/>
        <v>-2.7028096363350018E-2</v>
      </c>
    </row>
    <row r="157" spans="1:9" x14ac:dyDescent="0.3">
      <c r="A157" s="1">
        <v>41357</v>
      </c>
      <c r="B157" s="5">
        <v>5050</v>
      </c>
      <c r="C157" s="3">
        <v>4.0000000000000001E-3</v>
      </c>
      <c r="D157" s="5">
        <v>1774.86</v>
      </c>
      <c r="E157" s="6">
        <f t="shared" si="11"/>
        <v>8.4145336780205859E-3</v>
      </c>
      <c r="F157" s="7">
        <v>6.4780000000000004E-2</v>
      </c>
      <c r="G157" s="7">
        <f t="shared" si="8"/>
        <v>1.2078096817169648E-3</v>
      </c>
      <c r="H157" s="9">
        <f t="shared" si="9"/>
        <v>2.7921903182830353E-3</v>
      </c>
      <c r="I157" s="11">
        <f t="shared" si="10"/>
        <v>7.2067239963036211E-3</v>
      </c>
    </row>
    <row r="158" spans="1:9" x14ac:dyDescent="0.3">
      <c r="A158" s="1">
        <v>41364</v>
      </c>
      <c r="B158" s="5">
        <v>5020</v>
      </c>
      <c r="C158" s="3">
        <v>-5.8999999999999999E-3</v>
      </c>
      <c r="D158" s="5">
        <v>1758.88</v>
      </c>
      <c r="E158" s="6">
        <f t="shared" si="11"/>
        <v>-9.0035270387522903E-3</v>
      </c>
      <c r="F158" s="7">
        <v>6.1790000000000005E-2</v>
      </c>
      <c r="G158" s="7">
        <f t="shared" si="8"/>
        <v>1.1536681012307426E-3</v>
      </c>
      <c r="H158" s="9">
        <f t="shared" si="9"/>
        <v>-7.0536681012307425E-3</v>
      </c>
      <c r="I158" s="11">
        <f t="shared" si="10"/>
        <v>-1.0157195139983033E-2</v>
      </c>
    </row>
    <row r="159" spans="1:9" x14ac:dyDescent="0.3">
      <c r="A159" s="1">
        <v>41371</v>
      </c>
      <c r="B159" s="5">
        <v>4450</v>
      </c>
      <c r="C159" s="3">
        <v>-0.1135</v>
      </c>
      <c r="D159" s="5">
        <v>1733.9</v>
      </c>
      <c r="E159" s="6">
        <f t="shared" si="11"/>
        <v>-1.4202219594287246E-2</v>
      </c>
      <c r="F159" s="7">
        <v>6.0129999999999996E-2</v>
      </c>
      <c r="G159" s="7">
        <f t="shared" si="8"/>
        <v>1.1235449756985538E-3</v>
      </c>
      <c r="H159" s="9">
        <f t="shared" si="9"/>
        <v>-0.11462354497569856</v>
      </c>
      <c r="I159" s="11">
        <f t="shared" si="10"/>
        <v>-1.53257645699858E-2</v>
      </c>
    </row>
    <row r="160" spans="1:9" x14ac:dyDescent="0.3">
      <c r="A160" s="1">
        <v>41378</v>
      </c>
      <c r="B160" s="5">
        <v>4345</v>
      </c>
      <c r="C160" s="3">
        <v>-2.3599999999999999E-2</v>
      </c>
      <c r="D160" s="5">
        <v>1705.98</v>
      </c>
      <c r="E160" s="6">
        <f t="shared" si="11"/>
        <v>-1.6102428052367501E-2</v>
      </c>
      <c r="F160" s="7">
        <v>6.0499999999999998E-2</v>
      </c>
      <c r="G160" s="7">
        <f t="shared" si="8"/>
        <v>1.1302631708043354E-3</v>
      </c>
      <c r="H160" s="9">
        <f t="shared" si="9"/>
        <v>-2.4730263170804335E-2</v>
      </c>
      <c r="I160" s="11">
        <f t="shared" si="10"/>
        <v>-1.7232691223171837E-2</v>
      </c>
    </row>
    <row r="161" spans="1:9" x14ac:dyDescent="0.3">
      <c r="A161" s="1">
        <v>41385</v>
      </c>
      <c r="B161" s="5">
        <v>4335</v>
      </c>
      <c r="C161" s="3">
        <v>-2.3E-3</v>
      </c>
      <c r="D161" s="5">
        <v>1705.11</v>
      </c>
      <c r="E161" s="6">
        <f t="shared" si="11"/>
        <v>-5.09970808567628E-4</v>
      </c>
      <c r="F161" s="7">
        <v>6.2740000000000004E-2</v>
      </c>
      <c r="G161" s="7">
        <f t="shared" si="8"/>
        <v>1.1708864656687634E-3</v>
      </c>
      <c r="H161" s="9">
        <f t="shared" si="9"/>
        <v>-3.4708864656687634E-3</v>
      </c>
      <c r="I161" s="11">
        <f t="shared" si="10"/>
        <v>-1.6808572742363914E-3</v>
      </c>
    </row>
    <row r="162" spans="1:9" x14ac:dyDescent="0.3">
      <c r="A162" s="1">
        <v>41392</v>
      </c>
      <c r="B162" s="5">
        <v>4320</v>
      </c>
      <c r="C162" s="3">
        <v>-3.5000000000000001E-3</v>
      </c>
      <c r="D162" s="5">
        <v>1698.54</v>
      </c>
      <c r="E162" s="6">
        <f t="shared" si="11"/>
        <v>-3.8531238453823891E-3</v>
      </c>
      <c r="F162" s="7">
        <v>6.0860000000000004E-2</v>
      </c>
      <c r="G162" s="7">
        <f t="shared" si="8"/>
        <v>1.136797586940741E-3</v>
      </c>
      <c r="H162" s="9">
        <f t="shared" si="9"/>
        <v>-4.6367975869407406E-3</v>
      </c>
      <c r="I162" s="11">
        <f t="shared" si="10"/>
        <v>-4.98992143232313E-3</v>
      </c>
    </row>
    <row r="163" spans="1:9" x14ac:dyDescent="0.3">
      <c r="A163" s="1">
        <v>41399</v>
      </c>
      <c r="B163" s="5">
        <v>4135</v>
      </c>
      <c r="C163" s="3">
        <v>-4.2799999999999998E-2</v>
      </c>
      <c r="D163" s="5">
        <v>1654.77</v>
      </c>
      <c r="E163" s="6">
        <f t="shared" si="11"/>
        <v>-2.5769190010244136E-2</v>
      </c>
      <c r="F163" s="7">
        <v>6.1010000000000002E-2</v>
      </c>
      <c r="G163" s="7">
        <f t="shared" si="8"/>
        <v>1.1395196184875722E-3</v>
      </c>
      <c r="H163" s="9">
        <f t="shared" si="9"/>
        <v>-4.393951961848757E-2</v>
      </c>
      <c r="I163" s="11">
        <f t="shared" si="10"/>
        <v>-2.6908709628731708E-2</v>
      </c>
    </row>
    <row r="164" spans="1:9" x14ac:dyDescent="0.3">
      <c r="A164" s="1">
        <v>41406</v>
      </c>
      <c r="B164" s="5">
        <v>4075</v>
      </c>
      <c r="C164" s="3">
        <v>-1.4500000000000001E-2</v>
      </c>
      <c r="D164" s="5">
        <v>1689.89</v>
      </c>
      <c r="E164" s="6">
        <f t="shared" si="11"/>
        <v>2.1223493295140727E-2</v>
      </c>
      <c r="F164" s="7">
        <v>6.019E-2</v>
      </c>
      <c r="G164" s="7">
        <f t="shared" si="8"/>
        <v>1.1246345689492898E-3</v>
      </c>
      <c r="H164" s="9">
        <f t="shared" si="9"/>
        <v>-1.5624634568949291E-2</v>
      </c>
      <c r="I164" s="11">
        <f t="shared" si="10"/>
        <v>2.0098858726191438E-2</v>
      </c>
    </row>
    <row r="165" spans="1:9" x14ac:dyDescent="0.3">
      <c r="A165" s="1">
        <v>41413</v>
      </c>
      <c r="B165" s="5">
        <v>4155</v>
      </c>
      <c r="C165" s="3">
        <v>1.9599999999999999E-2</v>
      </c>
      <c r="D165" s="5">
        <v>1704.66</v>
      </c>
      <c r="E165" s="6">
        <f t="shared" si="11"/>
        <v>8.7402138600736201E-3</v>
      </c>
      <c r="F165" s="7">
        <v>5.8749999999999997E-2</v>
      </c>
      <c r="G165" s="7">
        <f t="shared" si="8"/>
        <v>1.0984676238037228E-3</v>
      </c>
      <c r="H165" s="9">
        <f t="shared" si="9"/>
        <v>1.8501532376196277E-2</v>
      </c>
      <c r="I165" s="11">
        <f t="shared" si="10"/>
        <v>7.6417462362698974E-3</v>
      </c>
    </row>
    <row r="166" spans="1:9" x14ac:dyDescent="0.3">
      <c r="A166" s="1">
        <v>41420</v>
      </c>
      <c r="B166" s="5">
        <v>4080</v>
      </c>
      <c r="C166" s="3">
        <v>-1.8100000000000002E-2</v>
      </c>
      <c r="D166" s="5">
        <v>1666.25</v>
      </c>
      <c r="E166" s="6">
        <f t="shared" si="11"/>
        <v>-2.2532352492579233E-2</v>
      </c>
      <c r="F166" s="7">
        <v>5.9569999999999998E-2</v>
      </c>
      <c r="G166" s="7">
        <f t="shared" si="8"/>
        <v>1.1133725211434076E-3</v>
      </c>
      <c r="H166" s="9">
        <f t="shared" si="9"/>
        <v>-1.9213372521143409E-2</v>
      </c>
      <c r="I166" s="11">
        <f t="shared" si="10"/>
        <v>-2.364572501372264E-2</v>
      </c>
    </row>
    <row r="167" spans="1:9" x14ac:dyDescent="0.3">
      <c r="A167" s="1">
        <v>41427</v>
      </c>
      <c r="B167" s="5">
        <v>4135</v>
      </c>
      <c r="C167" s="3">
        <v>1.35E-2</v>
      </c>
      <c r="D167" s="5">
        <v>1672.83</v>
      </c>
      <c r="E167" s="6">
        <f t="shared" si="11"/>
        <v>3.9489872468116971E-3</v>
      </c>
      <c r="F167" s="7">
        <v>5.9200000000000003E-2</v>
      </c>
      <c r="G167" s="7">
        <f t="shared" si="8"/>
        <v>1.1066485418160799E-3</v>
      </c>
      <c r="H167" s="9">
        <f t="shared" si="9"/>
        <v>1.239335145818392E-2</v>
      </c>
      <c r="I167" s="11">
        <f t="shared" si="10"/>
        <v>2.8423387049956172E-3</v>
      </c>
    </row>
    <row r="168" spans="1:9" x14ac:dyDescent="0.3">
      <c r="A168" s="1">
        <v>41434</v>
      </c>
      <c r="B168" s="5">
        <v>4000</v>
      </c>
      <c r="C168" s="3">
        <v>-3.2599999999999997E-2</v>
      </c>
      <c r="D168" s="5">
        <v>1636.9</v>
      </c>
      <c r="E168" s="6">
        <f t="shared" si="11"/>
        <v>-2.1478572239856941E-2</v>
      </c>
      <c r="F168" s="7">
        <v>5.96E-2</v>
      </c>
      <c r="G168" s="7">
        <f t="shared" si="8"/>
        <v>1.1139176077239465E-3</v>
      </c>
      <c r="H168" s="9">
        <f t="shared" si="9"/>
        <v>-3.3713917607723944E-2</v>
      </c>
      <c r="I168" s="11">
        <f t="shared" si="10"/>
        <v>-2.2592489847580888E-2</v>
      </c>
    </row>
    <row r="169" spans="1:9" x14ac:dyDescent="0.3">
      <c r="A169" s="1">
        <v>41441</v>
      </c>
      <c r="B169" s="5">
        <v>3975</v>
      </c>
      <c r="C169" s="3">
        <v>-6.3E-3</v>
      </c>
      <c r="D169" s="5">
        <v>1595.35</v>
      </c>
      <c r="E169" s="6">
        <f t="shared" si="11"/>
        <v>-2.5383346569735621E-2</v>
      </c>
      <c r="F169" s="7">
        <v>6.0339999999999998E-2</v>
      </c>
      <c r="G169" s="7">
        <f t="shared" si="8"/>
        <v>1.1273582875066523E-3</v>
      </c>
      <c r="H169" s="9">
        <f t="shared" si="9"/>
        <v>-7.4273582875066524E-3</v>
      </c>
      <c r="I169" s="11">
        <f t="shared" si="10"/>
        <v>-2.6510704857242273E-2</v>
      </c>
    </row>
    <row r="170" spans="1:9" x14ac:dyDescent="0.3">
      <c r="A170" s="1">
        <v>41448</v>
      </c>
      <c r="B170" s="5">
        <v>4080</v>
      </c>
      <c r="C170" s="3">
        <v>2.64E-2</v>
      </c>
      <c r="D170" s="5">
        <v>1615.84</v>
      </c>
      <c r="E170" s="6">
        <f t="shared" si="11"/>
        <v>1.2843576644623544E-2</v>
      </c>
      <c r="F170" s="7">
        <v>5.9349999999999993E-2</v>
      </c>
      <c r="G170" s="7">
        <f t="shared" si="8"/>
        <v>1.1093747569885792E-3</v>
      </c>
      <c r="H170" s="9">
        <f t="shared" si="9"/>
        <v>2.5290625243011421E-2</v>
      </c>
      <c r="I170" s="11">
        <f t="shared" si="10"/>
        <v>1.1734201887634965E-2</v>
      </c>
    </row>
    <row r="171" spans="1:9" x14ac:dyDescent="0.3">
      <c r="A171" s="1">
        <v>41455</v>
      </c>
      <c r="B171" s="5">
        <v>4035</v>
      </c>
      <c r="C171" s="3">
        <v>-1.0999999999999999E-2</v>
      </c>
      <c r="D171" s="5">
        <v>1597.41</v>
      </c>
      <c r="E171" s="6">
        <f t="shared" si="11"/>
        <v>-1.1405832260619753E-2</v>
      </c>
      <c r="F171" s="7">
        <v>4.9029999999999997E-2</v>
      </c>
      <c r="G171" s="7">
        <f t="shared" si="8"/>
        <v>9.2092239791741193E-4</v>
      </c>
      <c r="H171" s="9">
        <f t="shared" si="9"/>
        <v>-1.1920922397917411E-2</v>
      </c>
      <c r="I171" s="11">
        <f t="shared" si="10"/>
        <v>-1.2326754658537165E-2</v>
      </c>
    </row>
    <row r="172" spans="1:9" x14ac:dyDescent="0.3">
      <c r="A172" s="1">
        <v>41462</v>
      </c>
      <c r="B172" s="5">
        <v>4060</v>
      </c>
      <c r="C172" s="3">
        <v>6.1999999999999998E-3</v>
      </c>
      <c r="D172" s="5">
        <v>1604.24</v>
      </c>
      <c r="E172" s="6">
        <f t="shared" si="11"/>
        <v>4.2756712428242416E-3</v>
      </c>
      <c r="F172" s="7">
        <v>6.0100000000000001E-2</v>
      </c>
      <c r="G172" s="7">
        <f t="shared" si="8"/>
        <v>1.1230001563922176E-3</v>
      </c>
      <c r="H172" s="9">
        <f t="shared" si="9"/>
        <v>5.0769998436077822E-3</v>
      </c>
      <c r="I172" s="11">
        <f t="shared" si="10"/>
        <v>3.152671086432024E-3</v>
      </c>
    </row>
    <row r="173" spans="1:9" x14ac:dyDescent="0.3">
      <c r="A173" s="1">
        <v>41469</v>
      </c>
      <c r="B173" s="5">
        <v>4330</v>
      </c>
      <c r="C173" s="3">
        <v>6.6500000000000004E-2</v>
      </c>
      <c r="D173" s="5">
        <v>1685.63</v>
      </c>
      <c r="E173" s="6">
        <f t="shared" si="11"/>
        <v>5.0734304094150584E-2</v>
      </c>
      <c r="F173" s="7">
        <v>6.2480000000000001E-2</v>
      </c>
      <c r="G173" s="7">
        <f t="shared" si="8"/>
        <v>1.1661755720386857E-3</v>
      </c>
      <c r="H173" s="9">
        <f t="shared" si="9"/>
        <v>6.5333824427961318E-2</v>
      </c>
      <c r="I173" s="11">
        <f t="shared" si="10"/>
        <v>4.9568128522111898E-2</v>
      </c>
    </row>
    <row r="174" spans="1:9" x14ac:dyDescent="0.3">
      <c r="A174" s="1">
        <v>41476</v>
      </c>
      <c r="B174" s="5">
        <v>4325</v>
      </c>
      <c r="C174" s="3">
        <v>-1.1999999999999999E-3</v>
      </c>
      <c r="D174" s="5">
        <v>1694.34</v>
      </c>
      <c r="E174" s="6">
        <f t="shared" si="11"/>
        <v>5.1672075129178818E-3</v>
      </c>
      <c r="F174" s="7">
        <v>6.3189999999999996E-2</v>
      </c>
      <c r="G174" s="7">
        <f t="shared" si="8"/>
        <v>1.1790372648223801E-3</v>
      </c>
      <c r="H174" s="9">
        <f t="shared" si="9"/>
        <v>-2.3790372648223798E-3</v>
      </c>
      <c r="I174" s="11">
        <f t="shared" si="10"/>
        <v>3.9881702480955017E-3</v>
      </c>
    </row>
    <row r="175" spans="1:9" x14ac:dyDescent="0.3">
      <c r="A175" s="1">
        <v>41483</v>
      </c>
      <c r="B175" s="5">
        <v>4330</v>
      </c>
      <c r="C175" s="3">
        <v>1.1999999999999999E-3</v>
      </c>
      <c r="D175" s="5">
        <v>1721.95</v>
      </c>
      <c r="E175" s="6">
        <f t="shared" si="11"/>
        <v>1.6295430669169164E-2</v>
      </c>
      <c r="F175" s="7">
        <v>6.2439999999999996E-2</v>
      </c>
      <c r="G175" s="7">
        <f t="shared" si="8"/>
        <v>1.1654507188221253E-3</v>
      </c>
      <c r="H175" s="9">
        <f t="shared" si="9"/>
        <v>3.4549281177874641E-5</v>
      </c>
      <c r="I175" s="11">
        <f t="shared" si="10"/>
        <v>1.5129979950347039E-2</v>
      </c>
    </row>
    <row r="176" spans="1:9" x14ac:dyDescent="0.3">
      <c r="A176" s="1">
        <v>41490</v>
      </c>
      <c r="B176" s="5">
        <v>4340</v>
      </c>
      <c r="C176" s="3">
        <v>2.3E-3</v>
      </c>
      <c r="D176" s="5">
        <v>1720.67</v>
      </c>
      <c r="E176" s="6">
        <f t="shared" si="11"/>
        <v>-7.4334330265102277E-4</v>
      </c>
      <c r="F176" s="7">
        <v>6.3780000000000003E-2</v>
      </c>
      <c r="G176" s="7">
        <f t="shared" si="8"/>
        <v>1.1897187434257717E-3</v>
      </c>
      <c r="H176" s="9">
        <f t="shared" si="9"/>
        <v>1.1102812565742283E-3</v>
      </c>
      <c r="I176" s="11">
        <f t="shared" si="10"/>
        <v>-1.9330620460767944E-3</v>
      </c>
    </row>
    <row r="177" spans="1:9" x14ac:dyDescent="0.3">
      <c r="A177" s="1">
        <v>41497</v>
      </c>
      <c r="B177" s="5">
        <v>4370</v>
      </c>
      <c r="C177" s="3">
        <v>6.8999999999999999E-3</v>
      </c>
      <c r="D177" s="5">
        <v>1727.74</v>
      </c>
      <c r="E177" s="6">
        <f t="shared" si="11"/>
        <v>4.1088645701965465E-3</v>
      </c>
      <c r="F177" s="7">
        <v>6.3530000000000003E-2</v>
      </c>
      <c r="G177" s="7">
        <f t="shared" si="8"/>
        <v>1.1851934027342637E-3</v>
      </c>
      <c r="H177" s="9">
        <f t="shared" si="9"/>
        <v>5.7148065972657362E-3</v>
      </c>
      <c r="I177" s="11">
        <f t="shared" si="10"/>
        <v>2.9236711674622828E-3</v>
      </c>
    </row>
    <row r="178" spans="1:9" x14ac:dyDescent="0.3">
      <c r="A178" s="1">
        <v>41504</v>
      </c>
      <c r="B178" s="5">
        <v>4350</v>
      </c>
      <c r="C178" s="3">
        <v>-4.5999999999999999E-3</v>
      </c>
      <c r="D178" s="5">
        <v>1720.68</v>
      </c>
      <c r="E178" s="6">
        <f t="shared" si="11"/>
        <v>-4.0862629793834149E-3</v>
      </c>
      <c r="F178" s="7">
        <v>6.2190000000000002E-2</v>
      </c>
      <c r="G178" s="7">
        <f t="shared" si="8"/>
        <v>1.1609197797251003E-3</v>
      </c>
      <c r="H178" s="9">
        <f t="shared" si="9"/>
        <v>-5.7609197797251002E-3</v>
      </c>
      <c r="I178" s="11">
        <f t="shared" si="10"/>
        <v>-5.2471827591085152E-3</v>
      </c>
    </row>
    <row r="179" spans="1:9" x14ac:dyDescent="0.3">
      <c r="A179" s="1">
        <v>41511</v>
      </c>
      <c r="B179" s="5">
        <v>4335</v>
      </c>
      <c r="C179" s="3">
        <v>-3.3999999999999998E-3</v>
      </c>
      <c r="D179" s="5">
        <v>1729.62</v>
      </c>
      <c r="E179" s="6">
        <f t="shared" si="11"/>
        <v>5.1956203361460673E-3</v>
      </c>
      <c r="F179" s="7">
        <v>6.2350000000000003E-2</v>
      </c>
      <c r="G179" s="7">
        <f t="shared" si="8"/>
        <v>1.1638197012187046E-3</v>
      </c>
      <c r="H179" s="9">
        <f t="shared" si="9"/>
        <v>-4.5638197012187048E-3</v>
      </c>
      <c r="I179" s="11">
        <f t="shared" si="10"/>
        <v>4.0318006349273627E-3</v>
      </c>
    </row>
    <row r="180" spans="1:9" x14ac:dyDescent="0.3">
      <c r="A180" s="1">
        <v>41518</v>
      </c>
      <c r="B180" s="5">
        <v>4390</v>
      </c>
      <c r="C180" s="3">
        <v>1.2699999999999999E-2</v>
      </c>
      <c r="D180" s="5">
        <v>1736.54</v>
      </c>
      <c r="E180" s="6">
        <f t="shared" si="11"/>
        <v>4.0008788057492861E-3</v>
      </c>
      <c r="F180" s="7">
        <v>5.808E-2</v>
      </c>
      <c r="G180" s="7">
        <f t="shared" si="8"/>
        <v>1.0862808250178269E-3</v>
      </c>
      <c r="H180" s="9">
        <f t="shared" si="9"/>
        <v>1.1613719174982173E-2</v>
      </c>
      <c r="I180" s="11">
        <f t="shared" si="10"/>
        <v>2.9145979807314593E-3</v>
      </c>
    </row>
    <row r="181" spans="1:9" x14ac:dyDescent="0.3">
      <c r="A181" s="1">
        <v>41525</v>
      </c>
      <c r="B181" s="5">
        <v>4450</v>
      </c>
      <c r="C181" s="3">
        <v>1.37E-2</v>
      </c>
      <c r="D181" s="5">
        <v>1761.31</v>
      </c>
      <c r="E181" s="6">
        <f t="shared" si="11"/>
        <v>1.4263996222373176E-2</v>
      </c>
      <c r="F181" s="7">
        <v>5.5709999999999996E-2</v>
      </c>
      <c r="G181" s="7">
        <f t="shared" si="8"/>
        <v>1.0431114772933014E-3</v>
      </c>
      <c r="H181" s="9">
        <f t="shared" si="9"/>
        <v>1.2656888522706699E-2</v>
      </c>
      <c r="I181" s="11">
        <f t="shared" si="10"/>
        <v>1.3220884745079875E-2</v>
      </c>
    </row>
    <row r="182" spans="1:9" x14ac:dyDescent="0.3">
      <c r="A182" s="1">
        <v>41532</v>
      </c>
      <c r="B182" s="5">
        <v>4440</v>
      </c>
      <c r="C182" s="3">
        <v>-2.2000000000000001E-3</v>
      </c>
      <c r="D182" s="5">
        <v>1767.5</v>
      </c>
      <c r="E182" s="6">
        <f t="shared" si="11"/>
        <v>3.5144296006950348E-3</v>
      </c>
      <c r="F182" s="7">
        <v>5.4550000000000001E-2</v>
      </c>
      <c r="G182" s="7">
        <f t="shared" si="8"/>
        <v>1.0219475184387594E-3</v>
      </c>
      <c r="H182" s="9">
        <f t="shared" si="9"/>
        <v>-3.2219475184387595E-3</v>
      </c>
      <c r="I182" s="11">
        <f t="shared" si="10"/>
        <v>2.4924820822562754E-3</v>
      </c>
    </row>
    <row r="183" spans="1:9" x14ac:dyDescent="0.3">
      <c r="A183" s="1">
        <v>41539</v>
      </c>
      <c r="B183" s="5">
        <v>4425</v>
      </c>
      <c r="C183" s="3">
        <v>-3.3999999999999998E-3</v>
      </c>
      <c r="D183" s="5">
        <v>1768.52</v>
      </c>
      <c r="E183" s="6">
        <f t="shared" si="11"/>
        <v>5.7708628005648244E-4</v>
      </c>
      <c r="F183" s="7">
        <v>5.4029999999999995E-2</v>
      </c>
      <c r="G183" s="7">
        <f t="shared" si="8"/>
        <v>1.0124528137516187E-3</v>
      </c>
      <c r="H183" s="9">
        <f t="shared" si="9"/>
        <v>-4.4124528137516189E-3</v>
      </c>
      <c r="I183" s="11">
        <f t="shared" si="10"/>
        <v>-4.3536653369513623E-4</v>
      </c>
    </row>
    <row r="184" spans="1:9" x14ac:dyDescent="0.3">
      <c r="A184" s="1">
        <v>41546</v>
      </c>
      <c r="B184" s="5">
        <v>4325</v>
      </c>
      <c r="C184" s="3">
        <v>-2.2599999999999999E-2</v>
      </c>
      <c r="D184" s="5">
        <v>1751.71</v>
      </c>
      <c r="E184" s="6">
        <f t="shared" si="11"/>
        <v>-9.505122927645715E-3</v>
      </c>
      <c r="F184" s="7">
        <v>5.7160000000000002E-2</v>
      </c>
      <c r="G184" s="7">
        <f t="shared" si="8"/>
        <v>1.0695343759323794E-3</v>
      </c>
      <c r="H184" s="9">
        <f t="shared" si="9"/>
        <v>-2.3669534375932378E-2</v>
      </c>
      <c r="I184" s="11">
        <f t="shared" si="10"/>
        <v>-1.0574657303578094E-2</v>
      </c>
    </row>
    <row r="185" spans="1:9" x14ac:dyDescent="0.3">
      <c r="A185" s="1">
        <v>41553</v>
      </c>
      <c r="B185" s="5">
        <v>4385</v>
      </c>
      <c r="C185" s="3">
        <v>1.3899999999999999E-2</v>
      </c>
      <c r="D185" s="5">
        <v>1763.11</v>
      </c>
      <c r="E185" s="6">
        <f t="shared" si="11"/>
        <v>6.5079265403518161E-3</v>
      </c>
      <c r="F185" s="7">
        <v>5.8299999999999998E-2</v>
      </c>
      <c r="G185" s="7">
        <f t="shared" si="8"/>
        <v>1.0902832948165297E-3</v>
      </c>
      <c r="H185" s="9">
        <f t="shared" si="9"/>
        <v>1.2809716705183469E-2</v>
      </c>
      <c r="I185" s="11">
        <f t="shared" si="10"/>
        <v>5.4176432455352863E-3</v>
      </c>
    </row>
    <row r="186" spans="1:9" x14ac:dyDescent="0.3">
      <c r="A186" s="1">
        <v>41560</v>
      </c>
      <c r="B186" s="5">
        <v>4570</v>
      </c>
      <c r="C186" s="3">
        <v>4.2200000000000001E-2</v>
      </c>
      <c r="D186" s="5">
        <v>1781</v>
      </c>
      <c r="E186" s="6">
        <f t="shared" si="11"/>
        <v>1.0146842794834132E-2</v>
      </c>
      <c r="F186" s="7">
        <v>5.9299999999999999E-2</v>
      </c>
      <c r="G186" s="7">
        <f t="shared" si="8"/>
        <v>1.108466060666613E-3</v>
      </c>
      <c r="H186" s="9">
        <f t="shared" si="9"/>
        <v>4.1091533939333388E-2</v>
      </c>
      <c r="I186" s="11">
        <f t="shared" si="10"/>
        <v>9.0383767341675192E-3</v>
      </c>
    </row>
    <row r="187" spans="1:9" x14ac:dyDescent="0.3">
      <c r="A187" s="1">
        <v>41567</v>
      </c>
      <c r="B187" s="5">
        <v>4590</v>
      </c>
      <c r="C187" s="3">
        <v>4.4000000000000003E-3</v>
      </c>
      <c r="D187" s="5">
        <v>1773.84</v>
      </c>
      <c r="E187" s="6">
        <f t="shared" si="11"/>
        <v>-4.0202133632790682E-3</v>
      </c>
      <c r="F187" s="7">
        <v>5.8600000000000006E-2</v>
      </c>
      <c r="G187" s="7">
        <f t="shared" si="8"/>
        <v>1.0957398932802676E-3</v>
      </c>
      <c r="H187" s="9">
        <f t="shared" si="9"/>
        <v>3.3042601067197327E-3</v>
      </c>
      <c r="I187" s="11">
        <f t="shared" si="10"/>
        <v>-5.1159532565593357E-3</v>
      </c>
    </row>
    <row r="188" spans="1:9" x14ac:dyDescent="0.3">
      <c r="A188" s="1">
        <v>41574</v>
      </c>
      <c r="B188" s="5">
        <v>4470</v>
      </c>
      <c r="C188" s="3">
        <v>-2.6100000000000002E-2</v>
      </c>
      <c r="D188" s="5">
        <v>1752.97</v>
      </c>
      <c r="E188" s="6">
        <f t="shared" si="11"/>
        <v>-1.1765435439498373E-2</v>
      </c>
      <c r="F188" s="7">
        <v>6.0199999999999997E-2</v>
      </c>
      <c r="G188" s="7">
        <f t="shared" si="8"/>
        <v>1.1248161619445973E-3</v>
      </c>
      <c r="H188" s="9">
        <f t="shared" si="9"/>
        <v>-2.7224816161944599E-2</v>
      </c>
      <c r="I188" s="11">
        <f t="shared" si="10"/>
        <v>-1.289025160144297E-2</v>
      </c>
    </row>
    <row r="189" spans="1:9" x14ac:dyDescent="0.3">
      <c r="A189" s="1">
        <v>41581</v>
      </c>
      <c r="B189" s="5">
        <v>4235</v>
      </c>
      <c r="C189" s="3">
        <v>-5.2600000000000001E-2</v>
      </c>
      <c r="D189" s="5">
        <v>1678.18</v>
      </c>
      <c r="E189" s="6">
        <f t="shared" si="11"/>
        <v>-4.2664734707382301E-2</v>
      </c>
      <c r="F189" s="7">
        <v>5.9889999999999999E-2</v>
      </c>
      <c r="G189" s="7">
        <f t="shared" si="8"/>
        <v>1.1191859977943697E-3</v>
      </c>
      <c r="H189" s="9">
        <f t="shared" si="9"/>
        <v>-5.3719185997794371E-2</v>
      </c>
      <c r="I189" s="11">
        <f t="shared" si="10"/>
        <v>-4.3783920705176671E-2</v>
      </c>
    </row>
    <row r="190" spans="1:9" x14ac:dyDescent="0.3">
      <c r="A190" s="1">
        <v>41588</v>
      </c>
      <c r="B190" s="5">
        <v>4110</v>
      </c>
      <c r="C190" s="3">
        <v>-2.9499999999999998E-2</v>
      </c>
      <c r="D190" s="5">
        <v>1672.1</v>
      </c>
      <c r="E190" s="6">
        <f t="shared" si="11"/>
        <v>-3.622972505929134E-3</v>
      </c>
      <c r="F190" s="7">
        <v>5.9189999999999993E-2</v>
      </c>
      <c r="G190" s="7">
        <f t="shared" si="8"/>
        <v>1.1064667806748307E-3</v>
      </c>
      <c r="H190" s="9">
        <f t="shared" si="9"/>
        <v>-3.0606466780674829E-2</v>
      </c>
      <c r="I190" s="11">
        <f t="shared" si="10"/>
        <v>-4.7294392866039647E-3</v>
      </c>
    </row>
    <row r="191" spans="1:9" x14ac:dyDescent="0.3">
      <c r="A191" s="1">
        <v>41595</v>
      </c>
      <c r="B191" s="5">
        <v>4045</v>
      </c>
      <c r="C191" s="3">
        <v>-1.5800000000000002E-2</v>
      </c>
      <c r="D191" s="5">
        <v>1655.24</v>
      </c>
      <c r="E191" s="6">
        <f t="shared" si="11"/>
        <v>-1.0083128999461732E-2</v>
      </c>
      <c r="F191" s="7">
        <v>5.8899999999999994E-2</v>
      </c>
      <c r="G191" s="7">
        <f t="shared" si="8"/>
        <v>1.1011949753299E-3</v>
      </c>
      <c r="H191" s="9">
        <f t="shared" si="9"/>
        <v>-1.6901194975329902E-2</v>
      </c>
      <c r="I191" s="11">
        <f t="shared" si="10"/>
        <v>-1.1184323974791632E-2</v>
      </c>
    </row>
    <row r="192" spans="1:9" x14ac:dyDescent="0.3">
      <c r="A192" s="1">
        <v>41602</v>
      </c>
      <c r="B192" s="5">
        <v>3935</v>
      </c>
      <c r="C192" s="3">
        <v>-2.7199999999999998E-2</v>
      </c>
      <c r="D192" s="5">
        <v>1630.19</v>
      </c>
      <c r="E192" s="6">
        <f t="shared" si="11"/>
        <v>-1.5133757038254259E-2</v>
      </c>
      <c r="F192" s="7">
        <v>5.9409999999999998E-2</v>
      </c>
      <c r="G192" s="7">
        <f t="shared" si="8"/>
        <v>1.1104651370514862E-3</v>
      </c>
      <c r="H192" s="9">
        <f t="shared" si="9"/>
        <v>-2.8310465137051485E-2</v>
      </c>
      <c r="I192" s="11">
        <f t="shared" si="10"/>
        <v>-1.6244222175305745E-2</v>
      </c>
    </row>
    <row r="193" spans="1:9" x14ac:dyDescent="0.3">
      <c r="A193" s="1">
        <v>41609</v>
      </c>
      <c r="B193" s="5">
        <v>4100</v>
      </c>
      <c r="C193" s="3">
        <v>4.19E-2</v>
      </c>
      <c r="D193" s="5">
        <v>1599.52</v>
      </c>
      <c r="E193" s="6">
        <f t="shared" si="11"/>
        <v>-1.8813757905520312E-2</v>
      </c>
      <c r="F193" s="7">
        <v>6.2129999999999998E-2</v>
      </c>
      <c r="G193" s="7">
        <f t="shared" si="8"/>
        <v>1.159832198711408E-3</v>
      </c>
      <c r="H193" s="9">
        <f t="shared" si="9"/>
        <v>4.0740167801288592E-2</v>
      </c>
      <c r="I193" s="11">
        <f t="shared" si="10"/>
        <v>-1.997359010423172E-2</v>
      </c>
    </row>
    <row r="194" spans="1:9" x14ac:dyDescent="0.3">
      <c r="A194" s="1">
        <v>41616</v>
      </c>
      <c r="B194" s="5">
        <v>4130</v>
      </c>
      <c r="C194" s="3">
        <v>7.3000000000000001E-3</v>
      </c>
      <c r="D194" s="5">
        <v>1638.2</v>
      </c>
      <c r="E194" s="6">
        <f t="shared" si="11"/>
        <v>2.4182254676403003E-2</v>
      </c>
      <c r="F194" s="7">
        <v>6.1200000000000004E-2</v>
      </c>
      <c r="G194" s="7">
        <f t="shared" si="8"/>
        <v>1.1429669833489253E-3</v>
      </c>
      <c r="H194" s="9">
        <f t="shared" si="9"/>
        <v>6.1570330166510747E-3</v>
      </c>
      <c r="I194" s="11">
        <f t="shared" si="10"/>
        <v>2.3039287693054078E-2</v>
      </c>
    </row>
    <row r="195" spans="1:9" x14ac:dyDescent="0.3">
      <c r="A195" s="1">
        <v>41623</v>
      </c>
      <c r="B195" s="5">
        <v>3790</v>
      </c>
      <c r="C195" s="3">
        <v>-8.2299999999999998E-2</v>
      </c>
      <c r="D195" s="5">
        <v>1630.43</v>
      </c>
      <c r="E195" s="6">
        <f t="shared" si="11"/>
        <v>-4.7430106214136902E-3</v>
      </c>
      <c r="F195" s="7">
        <v>6.2370000000000002E-2</v>
      </c>
      <c r="G195" s="7">
        <f t="shared" ref="G195:G258" si="12">(1+F195)^(1/52)-1</f>
        <v>1.1641821612862202E-3</v>
      </c>
      <c r="H195" s="9">
        <f t="shared" ref="H195:H258" si="13">C195-G195</f>
        <v>-8.3464182161286218E-2</v>
      </c>
      <c r="I195" s="11">
        <f t="shared" ref="I195:I258" si="14">E195-G195</f>
        <v>-5.9071927826999104E-3</v>
      </c>
    </row>
    <row r="196" spans="1:9" x14ac:dyDescent="0.3">
      <c r="A196" s="1">
        <v>41630</v>
      </c>
      <c r="B196" s="5">
        <v>3740</v>
      </c>
      <c r="C196" s="3">
        <v>-1.32E-2</v>
      </c>
      <c r="D196" s="5">
        <v>1601.5</v>
      </c>
      <c r="E196" s="6">
        <f t="shared" ref="E196:E259" si="15">D196/D195-1</f>
        <v>-1.774378538177046E-2</v>
      </c>
      <c r="F196" s="7">
        <v>6.1529999999999994E-2</v>
      </c>
      <c r="G196" s="7">
        <f t="shared" si="12"/>
        <v>1.1489530732764486E-3</v>
      </c>
      <c r="H196" s="9">
        <f t="shared" si="13"/>
        <v>-1.4348953073276449E-2</v>
      </c>
      <c r="I196" s="11">
        <f t="shared" si="14"/>
        <v>-1.8892738455046909E-2</v>
      </c>
    </row>
    <row r="197" spans="1:9" x14ac:dyDescent="0.3">
      <c r="A197" s="1">
        <v>41637</v>
      </c>
      <c r="B197" s="5">
        <v>3650</v>
      </c>
      <c r="C197" s="3">
        <v>-2.41E-2</v>
      </c>
      <c r="D197" s="5">
        <v>1601.29</v>
      </c>
      <c r="E197" s="6">
        <f t="shared" si="15"/>
        <v>-1.3112706837337118E-4</v>
      </c>
      <c r="F197" s="7">
        <v>6.1799999999999994E-2</v>
      </c>
      <c r="G197" s="7">
        <f t="shared" si="12"/>
        <v>1.153849425845177E-3</v>
      </c>
      <c r="H197" s="9">
        <f t="shared" si="13"/>
        <v>-2.5253849425845177E-2</v>
      </c>
      <c r="I197" s="11">
        <f t="shared" si="14"/>
        <v>-1.2849764942185482E-3</v>
      </c>
    </row>
    <row r="198" spans="1:9" x14ac:dyDescent="0.3">
      <c r="A198" s="1">
        <v>41644</v>
      </c>
      <c r="B198" s="5">
        <v>3415</v>
      </c>
      <c r="C198" s="3">
        <v>-6.4399999999999999E-2</v>
      </c>
      <c r="D198" s="5">
        <v>1542.07</v>
      </c>
      <c r="E198" s="6">
        <f t="shared" si="15"/>
        <v>-3.6982682712063397E-2</v>
      </c>
      <c r="F198" s="7">
        <v>6.0540000000000004E-2</v>
      </c>
      <c r="G198" s="7">
        <f t="shared" si="12"/>
        <v>1.1309893244664249E-3</v>
      </c>
      <c r="H198" s="9">
        <f t="shared" si="13"/>
        <v>-6.5530989324466424E-2</v>
      </c>
      <c r="I198" s="11">
        <f t="shared" si="14"/>
        <v>-3.8113672036529822E-2</v>
      </c>
    </row>
    <row r="199" spans="1:9" x14ac:dyDescent="0.3">
      <c r="A199" s="1">
        <v>41651</v>
      </c>
      <c r="B199" s="5">
        <v>3485</v>
      </c>
      <c r="C199" s="3">
        <v>2.0500000000000001E-2</v>
      </c>
      <c r="D199" s="5">
        <v>1536.08</v>
      </c>
      <c r="E199" s="6">
        <f t="shared" si="15"/>
        <v>-3.8843891652130536E-3</v>
      </c>
      <c r="F199" s="7">
        <v>6.0339999999999998E-2</v>
      </c>
      <c r="G199" s="7">
        <f t="shared" si="12"/>
        <v>1.1273582875066523E-3</v>
      </c>
      <c r="H199" s="9">
        <f t="shared" si="13"/>
        <v>1.9372641712493349E-2</v>
      </c>
      <c r="I199" s="11">
        <f t="shared" si="14"/>
        <v>-5.0117474527197059E-3</v>
      </c>
    </row>
    <row r="200" spans="1:9" x14ac:dyDescent="0.3">
      <c r="A200" s="1">
        <v>41658</v>
      </c>
      <c r="B200" s="5">
        <v>3390</v>
      </c>
      <c r="C200" s="3">
        <v>-2.7300000000000001E-2</v>
      </c>
      <c r="D200" s="5">
        <v>1494.77</v>
      </c>
      <c r="E200" s="6">
        <f t="shared" si="15"/>
        <v>-2.6893130566116308E-2</v>
      </c>
      <c r="F200" s="7">
        <v>6.0319999999999999E-2</v>
      </c>
      <c r="G200" s="7">
        <f t="shared" si="12"/>
        <v>1.1269951468670936E-3</v>
      </c>
      <c r="H200" s="9">
        <f t="shared" si="13"/>
        <v>-2.8426995146867095E-2</v>
      </c>
      <c r="I200" s="11">
        <f t="shared" si="14"/>
        <v>-2.8020125712983401E-2</v>
      </c>
    </row>
    <row r="201" spans="1:9" x14ac:dyDescent="0.3">
      <c r="A201" s="1">
        <v>41665</v>
      </c>
      <c r="B201" s="5">
        <v>3520</v>
      </c>
      <c r="C201" s="3">
        <v>3.8300000000000001E-2</v>
      </c>
      <c r="D201" s="5">
        <v>1460.04</v>
      </c>
      <c r="E201" s="6">
        <f t="shared" si="15"/>
        <v>-2.3234343745191621E-2</v>
      </c>
      <c r="F201" s="7">
        <v>5.9379999999999995E-2</v>
      </c>
      <c r="G201" s="7">
        <f t="shared" si="12"/>
        <v>1.1099199545909766E-3</v>
      </c>
      <c r="H201" s="9">
        <f t="shared" si="13"/>
        <v>3.7190080045409024E-2</v>
      </c>
      <c r="I201" s="11">
        <f t="shared" si="14"/>
        <v>-2.4344263699782598E-2</v>
      </c>
    </row>
    <row r="202" spans="1:9" x14ac:dyDescent="0.3">
      <c r="A202" s="1">
        <v>41672</v>
      </c>
      <c r="B202" s="5">
        <v>3590</v>
      </c>
      <c r="C202" s="3">
        <v>1.9900000000000001E-2</v>
      </c>
      <c r="D202" s="5">
        <v>1499.57</v>
      </c>
      <c r="E202" s="6">
        <f t="shared" si="15"/>
        <v>2.7074600695871309E-2</v>
      </c>
      <c r="F202" s="7">
        <v>5.9560000000000002E-2</v>
      </c>
      <c r="G202" s="7">
        <f t="shared" si="12"/>
        <v>1.1131908222528075E-3</v>
      </c>
      <c r="H202" s="9">
        <f t="shared" si="13"/>
        <v>1.8786809177747193E-2</v>
      </c>
      <c r="I202" s="11">
        <f t="shared" si="14"/>
        <v>2.5961409873618502E-2</v>
      </c>
    </row>
    <row r="203" spans="1:9" x14ac:dyDescent="0.3">
      <c r="A203" s="1">
        <v>41679</v>
      </c>
      <c r="B203" s="5">
        <v>3655</v>
      </c>
      <c r="C203" s="3">
        <v>1.8100000000000002E-2</v>
      </c>
      <c r="D203" s="5">
        <v>1527.35</v>
      </c>
      <c r="E203" s="6">
        <f t="shared" si="15"/>
        <v>1.8525310589035504E-2</v>
      </c>
      <c r="F203" s="7">
        <v>5.9210000000000006E-2</v>
      </c>
      <c r="G203" s="7">
        <f t="shared" si="12"/>
        <v>1.1068303012742309E-3</v>
      </c>
      <c r="H203" s="9">
        <f t="shared" si="13"/>
        <v>1.6993169698725771E-2</v>
      </c>
      <c r="I203" s="11">
        <f t="shared" si="14"/>
        <v>1.7418480287761273E-2</v>
      </c>
    </row>
    <row r="204" spans="1:9" x14ac:dyDescent="0.3">
      <c r="A204" s="1">
        <v>41686</v>
      </c>
      <c r="B204" s="5">
        <v>3610</v>
      </c>
      <c r="C204" s="3">
        <v>-1.23E-2</v>
      </c>
      <c r="D204" s="5">
        <v>1520.6</v>
      </c>
      <c r="E204" s="6">
        <f t="shared" si="15"/>
        <v>-4.4194192555734313E-3</v>
      </c>
      <c r="F204" s="7">
        <v>5.8869999999999999E-2</v>
      </c>
      <c r="G204" s="7">
        <f t="shared" si="12"/>
        <v>1.100649535339171E-3</v>
      </c>
      <c r="H204" s="9">
        <f t="shared" si="13"/>
        <v>-1.3400649535339171E-2</v>
      </c>
      <c r="I204" s="11">
        <f t="shared" si="14"/>
        <v>-5.5200687909126023E-3</v>
      </c>
    </row>
    <row r="205" spans="1:9" x14ac:dyDescent="0.3">
      <c r="A205" s="1">
        <v>41693</v>
      </c>
      <c r="B205" s="5">
        <v>3500</v>
      </c>
      <c r="C205" s="3">
        <v>-3.0499999999999999E-2</v>
      </c>
      <c r="D205" s="5">
        <v>1520.74</v>
      </c>
      <c r="E205" s="6">
        <f t="shared" si="15"/>
        <v>9.2068920163113077E-5</v>
      </c>
      <c r="F205" s="7">
        <v>5.9450000000000003E-2</v>
      </c>
      <c r="G205" s="7">
        <f t="shared" si="12"/>
        <v>1.111192023445895E-3</v>
      </c>
      <c r="H205" s="9">
        <f t="shared" si="13"/>
        <v>-3.1611192023445894E-2</v>
      </c>
      <c r="I205" s="11">
        <f t="shared" si="14"/>
        <v>-1.0191231032827819E-3</v>
      </c>
    </row>
    <row r="206" spans="1:9" x14ac:dyDescent="0.3">
      <c r="A206" s="1">
        <v>41700</v>
      </c>
      <c r="B206" s="5">
        <v>3630</v>
      </c>
      <c r="C206" s="3">
        <v>3.7100000000000001E-2</v>
      </c>
      <c r="D206" s="5">
        <v>1571.84</v>
      </c>
      <c r="E206" s="6">
        <f t="shared" si="15"/>
        <v>3.3602062153951229E-2</v>
      </c>
      <c r="F206" s="7">
        <v>5.8939999999999999E-2</v>
      </c>
      <c r="G206" s="7">
        <f t="shared" si="12"/>
        <v>1.101922205075212E-3</v>
      </c>
      <c r="H206" s="9">
        <f t="shared" si="13"/>
        <v>3.5998077794924789E-2</v>
      </c>
      <c r="I206" s="11">
        <f t="shared" si="14"/>
        <v>3.2500139948876017E-2</v>
      </c>
    </row>
    <row r="207" spans="1:9" x14ac:dyDescent="0.3">
      <c r="A207" s="1">
        <v>41707</v>
      </c>
      <c r="B207" s="5">
        <v>3600</v>
      </c>
      <c r="C207" s="3">
        <v>-8.3000000000000001E-3</v>
      </c>
      <c r="D207" s="5">
        <v>1589.85</v>
      </c>
      <c r="E207" s="6">
        <f t="shared" si="15"/>
        <v>1.1457909201954442E-2</v>
      </c>
      <c r="F207" s="7">
        <v>5.9650000000000002E-2</v>
      </c>
      <c r="G207" s="7">
        <f t="shared" si="12"/>
        <v>1.1148260517235276E-3</v>
      </c>
      <c r="H207" s="9">
        <f t="shared" si="13"/>
        <v>-9.4148260517235276E-3</v>
      </c>
      <c r="I207" s="11">
        <f t="shared" si="14"/>
        <v>1.0343083150230914E-2</v>
      </c>
    </row>
    <row r="208" spans="1:9" x14ac:dyDescent="0.3">
      <c r="A208" s="1">
        <v>41714</v>
      </c>
      <c r="B208" s="5">
        <v>3720</v>
      </c>
      <c r="C208" s="3">
        <v>3.3300000000000003E-2</v>
      </c>
      <c r="D208" s="5">
        <v>1607.95</v>
      </c>
      <c r="E208" s="6">
        <f t="shared" si="15"/>
        <v>1.1384721829103439E-2</v>
      </c>
      <c r="F208" s="7">
        <v>6.0049999999999999E-2</v>
      </c>
      <c r="G208" s="7">
        <f t="shared" si="12"/>
        <v>1.1220920906109821E-3</v>
      </c>
      <c r="H208" s="9">
        <f t="shared" si="13"/>
        <v>3.2177907909389021E-2</v>
      </c>
      <c r="I208" s="11">
        <f t="shared" si="14"/>
        <v>1.0262629738492457E-2</v>
      </c>
    </row>
    <row r="209" spans="1:9" x14ac:dyDescent="0.3">
      <c r="A209" s="1">
        <v>41721</v>
      </c>
      <c r="B209" s="5">
        <v>3975</v>
      </c>
      <c r="C209" s="3">
        <v>6.8500000000000005E-2</v>
      </c>
      <c r="D209" s="5">
        <v>1673.72</v>
      </c>
      <c r="E209" s="6">
        <f t="shared" si="15"/>
        <v>4.0903013153394063E-2</v>
      </c>
      <c r="F209" s="7">
        <v>5.9569999999999998E-2</v>
      </c>
      <c r="G209" s="7">
        <f t="shared" si="12"/>
        <v>1.1133725211434076E-3</v>
      </c>
      <c r="H209" s="9">
        <f t="shared" si="13"/>
        <v>6.7386627478856598E-2</v>
      </c>
      <c r="I209" s="11">
        <f t="shared" si="14"/>
        <v>3.9789640632250656E-2</v>
      </c>
    </row>
    <row r="210" spans="1:9" x14ac:dyDescent="0.3">
      <c r="A210" s="1">
        <v>41728</v>
      </c>
      <c r="B210" s="5">
        <v>3970</v>
      </c>
      <c r="C210" s="3">
        <v>-1.2999999999999999E-3</v>
      </c>
      <c r="D210" s="5">
        <v>1703.12</v>
      </c>
      <c r="E210" s="6">
        <f t="shared" si="15"/>
        <v>1.7565662117916991E-2</v>
      </c>
      <c r="F210" s="7">
        <v>5.9480000000000005E-2</v>
      </c>
      <c r="G210" s="7">
        <f t="shared" si="12"/>
        <v>1.1117371705782197E-3</v>
      </c>
      <c r="H210" s="9">
        <f t="shared" si="13"/>
        <v>-2.4117371705782197E-3</v>
      </c>
      <c r="I210" s="11">
        <f t="shared" si="14"/>
        <v>1.6453924947338772E-2</v>
      </c>
    </row>
    <row r="211" spans="1:9" x14ac:dyDescent="0.3">
      <c r="A211" s="1">
        <v>41735</v>
      </c>
      <c r="B211" s="5">
        <v>3925</v>
      </c>
      <c r="C211" s="3">
        <v>-1.1299999999999999E-2</v>
      </c>
      <c r="D211" s="5">
        <v>1676.8</v>
      </c>
      <c r="E211" s="6">
        <f t="shared" si="15"/>
        <v>-1.5453990323641253E-2</v>
      </c>
      <c r="F211" s="7">
        <v>5.9210000000000006E-2</v>
      </c>
      <c r="G211" s="7">
        <f t="shared" si="12"/>
        <v>1.1068303012742309E-3</v>
      </c>
      <c r="H211" s="9">
        <f t="shared" si="13"/>
        <v>-1.240683030127423E-2</v>
      </c>
      <c r="I211" s="11">
        <f t="shared" si="14"/>
        <v>-1.6560820624915484E-2</v>
      </c>
    </row>
    <row r="212" spans="1:9" x14ac:dyDescent="0.3">
      <c r="A212" s="1">
        <v>41742</v>
      </c>
      <c r="B212" s="5">
        <v>3885</v>
      </c>
      <c r="C212" s="3">
        <v>-1.0200000000000001E-2</v>
      </c>
      <c r="D212" s="5">
        <v>1677.73</v>
      </c>
      <c r="E212" s="6">
        <f t="shared" si="15"/>
        <v>5.5462786259541375E-4</v>
      </c>
      <c r="F212" s="7">
        <v>5.7750000000000003E-2</v>
      </c>
      <c r="G212" s="7">
        <f t="shared" si="12"/>
        <v>1.0802755896748284E-3</v>
      </c>
      <c r="H212" s="9">
        <f t="shared" si="13"/>
        <v>-1.1280275589674829E-2</v>
      </c>
      <c r="I212" s="11">
        <f t="shared" si="14"/>
        <v>-5.2564772707941465E-4</v>
      </c>
    </row>
    <row r="213" spans="1:9" x14ac:dyDescent="0.3">
      <c r="A213" s="1">
        <v>41749</v>
      </c>
      <c r="B213" s="5">
        <v>3545</v>
      </c>
      <c r="C213" s="3">
        <v>-8.7499999999999994E-2</v>
      </c>
      <c r="D213" s="5">
        <v>1641.46</v>
      </c>
      <c r="E213" s="6">
        <f t="shared" si="15"/>
        <v>-2.161849642075897E-2</v>
      </c>
      <c r="F213" s="7">
        <v>5.6559999999999999E-2</v>
      </c>
      <c r="G213" s="7">
        <f t="shared" si="12"/>
        <v>1.0586050763314869E-3</v>
      </c>
      <c r="H213" s="9">
        <f t="shared" si="13"/>
        <v>-8.8558605076331481E-2</v>
      </c>
      <c r="I213" s="11">
        <f t="shared" si="14"/>
        <v>-2.2677101497090457E-2</v>
      </c>
    </row>
    <row r="214" spans="1:9" x14ac:dyDescent="0.3">
      <c r="A214" s="1">
        <v>41756</v>
      </c>
      <c r="B214" s="5">
        <v>3555</v>
      </c>
      <c r="C214" s="3">
        <v>2.8E-3</v>
      </c>
      <c r="D214" s="5">
        <v>1659.54</v>
      </c>
      <c r="E214" s="6">
        <f t="shared" si="15"/>
        <v>1.101458457714477E-2</v>
      </c>
      <c r="F214" s="7">
        <v>5.5599999999999997E-2</v>
      </c>
      <c r="G214" s="7">
        <f t="shared" si="12"/>
        <v>1.0411055292538496E-3</v>
      </c>
      <c r="H214" s="9">
        <f t="shared" si="13"/>
        <v>1.7588944707461504E-3</v>
      </c>
      <c r="I214" s="11">
        <f t="shared" si="14"/>
        <v>9.9734790478909208E-3</v>
      </c>
    </row>
    <row r="215" spans="1:9" x14ac:dyDescent="0.3">
      <c r="A215" s="1">
        <v>41763</v>
      </c>
      <c r="B215" s="5">
        <v>3525</v>
      </c>
      <c r="C215" s="3">
        <v>-8.3999999999999995E-3</v>
      </c>
      <c r="D215" s="5">
        <v>1674.22</v>
      </c>
      <c r="E215" s="6">
        <f t="shared" si="15"/>
        <v>8.8458247466165485E-3</v>
      </c>
      <c r="F215" s="7">
        <v>5.4800000000000001E-2</v>
      </c>
      <c r="G215" s="7">
        <f t="shared" si="12"/>
        <v>1.0265106459503848E-3</v>
      </c>
      <c r="H215" s="9">
        <f t="shared" si="13"/>
        <v>-9.4265106459503843E-3</v>
      </c>
      <c r="I215" s="11">
        <f t="shared" si="14"/>
        <v>7.8193141006661637E-3</v>
      </c>
    </row>
    <row r="216" spans="1:9" x14ac:dyDescent="0.3">
      <c r="A216" s="1">
        <v>41770</v>
      </c>
      <c r="B216" s="5">
        <v>3610</v>
      </c>
      <c r="C216" s="3">
        <v>2.41E-2</v>
      </c>
      <c r="D216" s="5">
        <v>1685.11</v>
      </c>
      <c r="E216" s="6">
        <f t="shared" si="15"/>
        <v>6.5045215085233199E-3</v>
      </c>
      <c r="F216" s="7">
        <v>5.4390000000000001E-2</v>
      </c>
      <c r="G216" s="7">
        <f t="shared" si="12"/>
        <v>1.0190265600018567E-3</v>
      </c>
      <c r="H216" s="9">
        <f t="shared" si="13"/>
        <v>2.3080973439998143E-2</v>
      </c>
      <c r="I216" s="11">
        <f t="shared" si="14"/>
        <v>5.4854949485214632E-3</v>
      </c>
    </row>
    <row r="217" spans="1:9" x14ac:dyDescent="0.3">
      <c r="A217" s="1">
        <v>41777</v>
      </c>
      <c r="B217" s="5">
        <v>3515</v>
      </c>
      <c r="C217" s="3">
        <v>-2.63E-2</v>
      </c>
      <c r="D217" s="5">
        <v>1666.79</v>
      </c>
      <c r="E217" s="6">
        <f t="shared" si="15"/>
        <v>-1.0871693836010721E-2</v>
      </c>
      <c r="F217" s="7">
        <v>5.4800000000000001E-2</v>
      </c>
      <c r="G217" s="7">
        <f t="shared" si="12"/>
        <v>1.0265106459503848E-3</v>
      </c>
      <c r="H217" s="9">
        <f t="shared" si="13"/>
        <v>-2.7326510645950385E-2</v>
      </c>
      <c r="I217" s="11">
        <f t="shared" si="14"/>
        <v>-1.1898204481961105E-2</v>
      </c>
    </row>
    <row r="218" spans="1:9" x14ac:dyDescent="0.3">
      <c r="A218" s="1">
        <v>41784</v>
      </c>
      <c r="B218" s="5">
        <v>3430</v>
      </c>
      <c r="C218" s="3">
        <v>-2.4199999999999999E-2</v>
      </c>
      <c r="D218" s="5">
        <v>1659.05</v>
      </c>
      <c r="E218" s="6">
        <f t="shared" si="15"/>
        <v>-4.6436563694286503E-3</v>
      </c>
      <c r="F218" s="7">
        <v>5.7859999999999995E-2</v>
      </c>
      <c r="G218" s="7">
        <f t="shared" si="12"/>
        <v>1.0822775389311978E-3</v>
      </c>
      <c r="H218" s="9">
        <f t="shared" si="13"/>
        <v>-2.5282277538931197E-2</v>
      </c>
      <c r="I218" s="11">
        <f t="shared" si="14"/>
        <v>-5.7259339083598482E-3</v>
      </c>
    </row>
    <row r="219" spans="1:9" x14ac:dyDescent="0.3">
      <c r="A219" s="1">
        <v>41791</v>
      </c>
      <c r="B219" s="5">
        <v>3500</v>
      </c>
      <c r="C219" s="3">
        <v>2.0400000000000001E-2</v>
      </c>
      <c r="D219" s="5">
        <v>1676.84</v>
      </c>
      <c r="E219" s="6">
        <f t="shared" si="15"/>
        <v>1.072300412886884E-2</v>
      </c>
      <c r="F219" s="7">
        <v>5.9580000000000001E-2</v>
      </c>
      <c r="G219" s="7">
        <f t="shared" si="12"/>
        <v>1.1135542183520197E-3</v>
      </c>
      <c r="H219" s="9">
        <f t="shared" si="13"/>
        <v>1.9286445781647982E-2</v>
      </c>
      <c r="I219" s="11">
        <f t="shared" si="14"/>
        <v>9.6094499105168207E-3</v>
      </c>
    </row>
    <row r="220" spans="1:9" x14ac:dyDescent="0.3">
      <c r="A220" s="1">
        <v>41798</v>
      </c>
      <c r="B220" s="5">
        <v>3645</v>
      </c>
      <c r="C220" s="3">
        <v>4.1399999999999999E-2</v>
      </c>
      <c r="D220" s="5">
        <v>1716.81</v>
      </c>
      <c r="E220" s="6">
        <f t="shared" si="15"/>
        <v>2.3836501991841841E-2</v>
      </c>
      <c r="F220" s="7">
        <v>6.0010000000000001E-2</v>
      </c>
      <c r="G220" s="7">
        <f t="shared" si="12"/>
        <v>1.1213656077402323E-3</v>
      </c>
      <c r="H220" s="9">
        <f t="shared" si="13"/>
        <v>4.0278634392259767E-2</v>
      </c>
      <c r="I220" s="11">
        <f t="shared" si="14"/>
        <v>2.2715136384101609E-2</v>
      </c>
    </row>
    <row r="221" spans="1:9" x14ac:dyDescent="0.3">
      <c r="A221" s="1">
        <v>41805</v>
      </c>
      <c r="B221" s="5">
        <v>3480</v>
      </c>
      <c r="C221" s="3">
        <v>-4.53E-2</v>
      </c>
      <c r="D221" s="5">
        <v>1725.13</v>
      </c>
      <c r="E221" s="6">
        <f t="shared" si="15"/>
        <v>4.8461973077977838E-3</v>
      </c>
      <c r="F221" s="7">
        <v>5.9760000000000001E-2</v>
      </c>
      <c r="G221" s="7">
        <f t="shared" si="12"/>
        <v>1.1168244805475069E-3</v>
      </c>
      <c r="H221" s="9">
        <f t="shared" si="13"/>
        <v>-4.6416824480547507E-2</v>
      </c>
      <c r="I221" s="11">
        <f t="shared" si="14"/>
        <v>3.7293728272502769E-3</v>
      </c>
    </row>
    <row r="222" spans="1:9" x14ac:dyDescent="0.3">
      <c r="A222" s="1">
        <v>41812</v>
      </c>
      <c r="B222" s="5">
        <v>3410</v>
      </c>
      <c r="C222" s="3">
        <v>-2.01E-2</v>
      </c>
      <c r="D222" s="5">
        <v>1705.99</v>
      </c>
      <c r="E222" s="6">
        <f t="shared" si="15"/>
        <v>-1.1094816042849009E-2</v>
      </c>
      <c r="F222" s="7">
        <v>5.8869999999999999E-2</v>
      </c>
      <c r="G222" s="7">
        <f t="shared" si="12"/>
        <v>1.100649535339171E-3</v>
      </c>
      <c r="H222" s="9">
        <f t="shared" si="13"/>
        <v>-2.1200649535339171E-2</v>
      </c>
      <c r="I222" s="11">
        <f t="shared" si="14"/>
        <v>-1.219546557818818E-2</v>
      </c>
    </row>
    <row r="223" spans="1:9" x14ac:dyDescent="0.3">
      <c r="A223" s="1">
        <v>41819</v>
      </c>
      <c r="B223" s="5">
        <v>3320</v>
      </c>
      <c r="C223" s="3">
        <v>-2.64E-2</v>
      </c>
      <c r="D223" s="5">
        <v>1704.32</v>
      </c>
      <c r="E223" s="6">
        <f t="shared" si="15"/>
        <v>-9.7890374503961652E-4</v>
      </c>
      <c r="F223" s="7">
        <v>5.5980000000000002E-2</v>
      </c>
      <c r="G223" s="7">
        <f t="shared" si="12"/>
        <v>1.0480342989733771E-3</v>
      </c>
      <c r="H223" s="9">
        <f t="shared" si="13"/>
        <v>-2.7448034298973377E-2</v>
      </c>
      <c r="I223" s="11">
        <f t="shared" si="14"/>
        <v>-2.0269380440129936E-3</v>
      </c>
    </row>
    <row r="224" spans="1:9" x14ac:dyDescent="0.3">
      <c r="A224" s="1">
        <v>41826</v>
      </c>
      <c r="B224" s="5">
        <v>3250</v>
      </c>
      <c r="C224" s="3">
        <v>-2.1100000000000001E-2</v>
      </c>
      <c r="D224" s="5">
        <v>1684.25</v>
      </c>
      <c r="E224" s="6">
        <f t="shared" si="15"/>
        <v>-1.1775957566654061E-2</v>
      </c>
      <c r="F224" s="7">
        <v>5.2999999999999999E-2</v>
      </c>
      <c r="G224" s="7">
        <f t="shared" si="12"/>
        <v>9.9363242500905002E-4</v>
      </c>
      <c r="H224" s="9">
        <f t="shared" si="13"/>
        <v>-2.2093632425009051E-2</v>
      </c>
      <c r="I224" s="11">
        <f t="shared" si="14"/>
        <v>-1.2769589991663111E-2</v>
      </c>
    </row>
    <row r="225" spans="1:9" x14ac:dyDescent="0.3">
      <c r="A225" s="1">
        <v>41833</v>
      </c>
      <c r="B225" s="5">
        <v>3305</v>
      </c>
      <c r="C225" s="3">
        <v>1.6899999999999998E-2</v>
      </c>
      <c r="D225" s="5">
        <v>1689.55</v>
      </c>
      <c r="E225" s="6">
        <f t="shared" si="15"/>
        <v>3.1468012468458539E-3</v>
      </c>
      <c r="F225" s="7">
        <v>5.2000000000000005E-2</v>
      </c>
      <c r="G225" s="7">
        <f t="shared" si="12"/>
        <v>9.7534292084411334E-4</v>
      </c>
      <c r="H225" s="9">
        <f t="shared" si="13"/>
        <v>1.5924657079155885E-2</v>
      </c>
      <c r="I225" s="11">
        <f t="shared" si="14"/>
        <v>2.1714583260017406E-3</v>
      </c>
    </row>
    <row r="226" spans="1:9" x14ac:dyDescent="0.3">
      <c r="A226" s="1">
        <v>41840</v>
      </c>
      <c r="B226" s="5">
        <v>3240</v>
      </c>
      <c r="C226" s="3">
        <v>-1.9699999999999999E-2</v>
      </c>
      <c r="D226" s="5">
        <v>1700.91</v>
      </c>
      <c r="E226" s="6">
        <f t="shared" si="15"/>
        <v>6.7236838211359728E-3</v>
      </c>
      <c r="F226" s="7">
        <v>5.3940000000000002E-2</v>
      </c>
      <c r="G226" s="7">
        <f t="shared" si="12"/>
        <v>1.0108090331175656E-3</v>
      </c>
      <c r="H226" s="9">
        <f t="shared" si="13"/>
        <v>-2.0710809033117564E-2</v>
      </c>
      <c r="I226" s="11">
        <f t="shared" si="14"/>
        <v>5.7128747880184072E-3</v>
      </c>
    </row>
    <row r="227" spans="1:9" x14ac:dyDescent="0.3">
      <c r="A227" s="1">
        <v>41847</v>
      </c>
      <c r="B227" s="5">
        <v>3130</v>
      </c>
      <c r="C227" s="3">
        <v>-3.4000000000000002E-2</v>
      </c>
      <c r="D227" s="5">
        <v>1693.06</v>
      </c>
      <c r="E227" s="6">
        <f t="shared" si="15"/>
        <v>-4.6151765819474333E-3</v>
      </c>
      <c r="F227" s="7">
        <v>5.4130000000000005E-2</v>
      </c>
      <c r="G227" s="7">
        <f t="shared" si="12"/>
        <v>1.0142790752356579E-3</v>
      </c>
      <c r="H227" s="9">
        <f t="shared" si="13"/>
        <v>-3.501427907523566E-2</v>
      </c>
      <c r="I227" s="11">
        <f t="shared" si="14"/>
        <v>-5.6294556571830912E-3</v>
      </c>
    </row>
    <row r="228" spans="1:9" x14ac:dyDescent="0.3">
      <c r="A228" s="1">
        <v>41854</v>
      </c>
      <c r="B228" s="5">
        <v>3245</v>
      </c>
      <c r="C228" s="3">
        <v>3.6700000000000003E-2</v>
      </c>
      <c r="D228" s="5">
        <v>1719.88</v>
      </c>
      <c r="E228" s="6">
        <f t="shared" si="15"/>
        <v>1.584113971152834E-2</v>
      </c>
      <c r="F228" s="7">
        <v>5.2639999999999999E-2</v>
      </c>
      <c r="G228" s="7">
        <f t="shared" si="12"/>
        <v>9.8705016669375922E-4</v>
      </c>
      <c r="H228" s="9">
        <f t="shared" si="13"/>
        <v>3.5712949833306244E-2</v>
      </c>
      <c r="I228" s="11">
        <f t="shared" si="14"/>
        <v>1.4854089544834581E-2</v>
      </c>
    </row>
    <row r="229" spans="1:9" x14ac:dyDescent="0.3">
      <c r="A229" s="1">
        <v>41861</v>
      </c>
      <c r="B229" s="5">
        <v>3135</v>
      </c>
      <c r="C229" s="3">
        <v>-3.39E-2</v>
      </c>
      <c r="D229" s="5">
        <v>1722.54</v>
      </c>
      <c r="E229" s="6">
        <f t="shared" si="15"/>
        <v>1.5466195315951836E-3</v>
      </c>
      <c r="F229" s="7">
        <v>5.2400000000000002E-2</v>
      </c>
      <c r="G229" s="7">
        <f t="shared" si="12"/>
        <v>9.826607678014021E-4</v>
      </c>
      <c r="H229" s="9">
        <f t="shared" si="13"/>
        <v>-3.4882660767801402E-2</v>
      </c>
      <c r="I229" s="11">
        <f t="shared" si="14"/>
        <v>5.6395876379378151E-4</v>
      </c>
    </row>
    <row r="230" spans="1:9" x14ac:dyDescent="0.3">
      <c r="A230" s="1">
        <v>41868</v>
      </c>
      <c r="B230" s="5">
        <v>3190</v>
      </c>
      <c r="C230" s="3">
        <v>1.7500000000000002E-2</v>
      </c>
      <c r="D230" s="5">
        <v>1747.13</v>
      </c>
      <c r="E230" s="6">
        <f t="shared" si="15"/>
        <v>1.4275430468958739E-2</v>
      </c>
      <c r="F230" s="7">
        <v>5.57E-2</v>
      </c>
      <c r="G230" s="7">
        <f t="shared" si="12"/>
        <v>1.0429291268516661E-3</v>
      </c>
      <c r="H230" s="9">
        <f t="shared" si="13"/>
        <v>1.6457070873148336E-2</v>
      </c>
      <c r="I230" s="11">
        <f t="shared" si="14"/>
        <v>1.3232501342107073E-2</v>
      </c>
    </row>
    <row r="231" spans="1:9" x14ac:dyDescent="0.3">
      <c r="A231" s="1">
        <v>41875</v>
      </c>
      <c r="B231" s="5">
        <v>3325</v>
      </c>
      <c r="C231" s="3">
        <v>4.2299999999999997E-2</v>
      </c>
      <c r="D231" s="5">
        <v>1771.18</v>
      </c>
      <c r="E231" s="6">
        <f t="shared" si="15"/>
        <v>1.3765432452078619E-2</v>
      </c>
      <c r="F231" s="7">
        <v>5.8179999999999996E-2</v>
      </c>
      <c r="G231" s="7">
        <f t="shared" si="12"/>
        <v>1.0881002306442067E-3</v>
      </c>
      <c r="H231" s="9">
        <f t="shared" si="13"/>
        <v>4.1211899769355791E-2</v>
      </c>
      <c r="I231" s="11">
        <f t="shared" si="14"/>
        <v>1.2677332221434412E-2</v>
      </c>
    </row>
    <row r="232" spans="1:9" x14ac:dyDescent="0.3">
      <c r="A232" s="1">
        <v>41882</v>
      </c>
      <c r="B232" s="5">
        <v>3365</v>
      </c>
      <c r="C232" s="3">
        <v>1.2E-2</v>
      </c>
      <c r="D232" s="5">
        <v>1761.69</v>
      </c>
      <c r="E232" s="6">
        <f t="shared" si="15"/>
        <v>-5.3580099142944704E-3</v>
      </c>
      <c r="F232" s="7">
        <v>5.6730000000000003E-2</v>
      </c>
      <c r="G232" s="7">
        <f t="shared" si="12"/>
        <v>1.0617023291112915E-3</v>
      </c>
      <c r="H232" s="9">
        <f t="shared" si="13"/>
        <v>1.0938297670888709E-2</v>
      </c>
      <c r="I232" s="11">
        <f t="shared" si="14"/>
        <v>-6.4197122434057619E-3</v>
      </c>
    </row>
    <row r="233" spans="1:9" x14ac:dyDescent="0.3">
      <c r="A233" s="1">
        <v>41889</v>
      </c>
      <c r="B233" s="5">
        <v>3345</v>
      </c>
      <c r="C233" s="3">
        <v>-5.8999999999999999E-3</v>
      </c>
      <c r="D233" s="5">
        <v>1734.98</v>
      </c>
      <c r="E233" s="6">
        <f t="shared" si="15"/>
        <v>-1.5161577803132209E-2</v>
      </c>
      <c r="F233" s="7">
        <v>5.756E-2</v>
      </c>
      <c r="G233" s="7">
        <f t="shared" si="12"/>
        <v>1.0768171963364548E-3</v>
      </c>
      <c r="H233" s="9">
        <f t="shared" si="13"/>
        <v>-6.9768171963364546E-3</v>
      </c>
      <c r="I233" s="11">
        <f t="shared" si="14"/>
        <v>-1.6238394999468664E-2</v>
      </c>
    </row>
    <row r="234" spans="1:9" x14ac:dyDescent="0.3">
      <c r="A234" s="1">
        <v>41896</v>
      </c>
      <c r="B234" s="5">
        <v>3360</v>
      </c>
      <c r="C234" s="3">
        <v>4.4999999999999997E-3</v>
      </c>
      <c r="D234" s="5">
        <v>1739.41</v>
      </c>
      <c r="E234" s="6">
        <f t="shared" si="15"/>
        <v>2.5533435543925176E-3</v>
      </c>
      <c r="F234" s="7">
        <v>5.7340000000000002E-2</v>
      </c>
      <c r="G234" s="7">
        <f t="shared" si="12"/>
        <v>1.0728119795049285E-3</v>
      </c>
      <c r="H234" s="9">
        <f t="shared" si="13"/>
        <v>3.4271880204950712E-3</v>
      </c>
      <c r="I234" s="11">
        <f t="shared" si="14"/>
        <v>1.4805315748875891E-3</v>
      </c>
    </row>
    <row r="235" spans="1:9" x14ac:dyDescent="0.3">
      <c r="A235" s="1">
        <v>41903</v>
      </c>
      <c r="B235" s="5">
        <v>3210</v>
      </c>
      <c r="C235" s="3">
        <v>-4.4600000000000001E-2</v>
      </c>
      <c r="D235" s="5">
        <v>1678</v>
      </c>
      <c r="E235" s="6">
        <f t="shared" si="15"/>
        <v>-3.5305074709240492E-2</v>
      </c>
      <c r="F235" s="7">
        <v>5.5500000000000001E-2</v>
      </c>
      <c r="G235" s="7">
        <f t="shared" si="12"/>
        <v>1.0392817622160155E-3</v>
      </c>
      <c r="H235" s="9">
        <f t="shared" si="13"/>
        <v>-4.5639281762216016E-2</v>
      </c>
      <c r="I235" s="11">
        <f t="shared" si="14"/>
        <v>-3.6344356471456507E-2</v>
      </c>
    </row>
    <row r="236" spans="1:9" x14ac:dyDescent="0.3">
      <c r="A236" s="1">
        <v>41910</v>
      </c>
      <c r="B236" s="5">
        <v>3110</v>
      </c>
      <c r="C236" s="3">
        <v>-3.1199999999999999E-2</v>
      </c>
      <c r="D236" s="5">
        <v>1654.23</v>
      </c>
      <c r="E236" s="6">
        <f t="shared" si="15"/>
        <v>-1.4165673420738933E-2</v>
      </c>
      <c r="F236" s="7">
        <v>5.5E-2</v>
      </c>
      <c r="G236" s="7">
        <f t="shared" si="12"/>
        <v>1.0301603843088092E-3</v>
      </c>
      <c r="H236" s="9">
        <f t="shared" si="13"/>
        <v>-3.2230160384308808E-2</v>
      </c>
      <c r="I236" s="11">
        <f t="shared" si="14"/>
        <v>-1.5195833805047743E-2</v>
      </c>
    </row>
    <row r="237" spans="1:9" x14ac:dyDescent="0.3">
      <c r="A237" s="1">
        <v>41917</v>
      </c>
      <c r="B237" s="5">
        <v>2920</v>
      </c>
      <c r="C237" s="3">
        <v>-6.1100000000000002E-2</v>
      </c>
      <c r="D237" s="5">
        <v>1601.8</v>
      </c>
      <c r="E237" s="6">
        <f t="shared" si="15"/>
        <v>-3.1694504391771461E-2</v>
      </c>
      <c r="F237" s="7">
        <v>5.4539999999999998E-2</v>
      </c>
      <c r="G237" s="7">
        <f t="shared" si="12"/>
        <v>1.0217649712707111E-3</v>
      </c>
      <c r="H237" s="9">
        <f t="shared" si="13"/>
        <v>-6.2121764971270713E-2</v>
      </c>
      <c r="I237" s="11">
        <f t="shared" si="14"/>
        <v>-3.2716269363042172E-2</v>
      </c>
    </row>
    <row r="238" spans="1:9" x14ac:dyDescent="0.3">
      <c r="A238" s="1">
        <v>41924</v>
      </c>
      <c r="B238" s="5">
        <v>3010</v>
      </c>
      <c r="C238" s="3">
        <v>3.0800000000000001E-2</v>
      </c>
      <c r="D238" s="5">
        <v>1617</v>
      </c>
      <c r="E238" s="6">
        <f t="shared" si="15"/>
        <v>9.4893245099263446E-3</v>
      </c>
      <c r="F238" s="7">
        <v>5.4870000000000002E-2</v>
      </c>
      <c r="G238" s="7">
        <f t="shared" si="12"/>
        <v>1.0277881315741144E-3</v>
      </c>
      <c r="H238" s="9">
        <f t="shared" si="13"/>
        <v>2.9772211868425887E-2</v>
      </c>
      <c r="I238" s="11">
        <f t="shared" si="14"/>
        <v>8.4615363783522302E-3</v>
      </c>
    </row>
    <row r="239" spans="1:9" x14ac:dyDescent="0.3">
      <c r="A239" s="1">
        <v>41931</v>
      </c>
      <c r="B239" s="5">
        <v>2940</v>
      </c>
      <c r="C239" s="3">
        <v>-2.3300000000000001E-2</v>
      </c>
      <c r="D239" s="5">
        <v>1624.17</v>
      </c>
      <c r="E239" s="6">
        <f t="shared" si="15"/>
        <v>4.4341372912801713E-3</v>
      </c>
      <c r="F239" s="7">
        <v>5.5599999999999997E-2</v>
      </c>
      <c r="G239" s="7">
        <f t="shared" si="12"/>
        <v>1.0411055292538496E-3</v>
      </c>
      <c r="H239" s="9">
        <f t="shared" si="13"/>
        <v>-2.4341105529253851E-2</v>
      </c>
      <c r="I239" s="11">
        <f t="shared" si="14"/>
        <v>3.3930317620263217E-3</v>
      </c>
    </row>
    <row r="240" spans="1:9" x14ac:dyDescent="0.3">
      <c r="A240" s="1">
        <v>41938</v>
      </c>
      <c r="B240" s="5">
        <v>2750</v>
      </c>
      <c r="C240" s="3">
        <v>-6.4600000000000005E-2</v>
      </c>
      <c r="D240" s="5">
        <v>1634.88</v>
      </c>
      <c r="E240" s="6">
        <f t="shared" si="15"/>
        <v>6.5941373132123449E-3</v>
      </c>
      <c r="F240" s="7">
        <v>5.57E-2</v>
      </c>
      <c r="G240" s="7">
        <f t="shared" si="12"/>
        <v>1.0429291268516661E-3</v>
      </c>
      <c r="H240" s="9">
        <f t="shared" si="13"/>
        <v>-6.5642929126851671E-2</v>
      </c>
      <c r="I240" s="11">
        <f t="shared" si="14"/>
        <v>5.5512081863606788E-3</v>
      </c>
    </row>
    <row r="241" spans="1:9" x14ac:dyDescent="0.3">
      <c r="A241" s="1">
        <v>41945</v>
      </c>
      <c r="B241" s="5">
        <v>2690</v>
      </c>
      <c r="C241" s="3">
        <v>-2.18E-2</v>
      </c>
      <c r="D241" s="5">
        <v>1638.79</v>
      </c>
      <c r="E241" s="6">
        <f t="shared" si="15"/>
        <v>2.3916128400860437E-3</v>
      </c>
      <c r="F241" s="7">
        <v>5.6150000000000005E-2</v>
      </c>
      <c r="G241" s="7">
        <f t="shared" si="12"/>
        <v>1.0511332200699997E-3</v>
      </c>
      <c r="H241" s="9">
        <f t="shared" si="13"/>
        <v>-2.285113322007E-2</v>
      </c>
      <c r="I241" s="11">
        <f t="shared" si="14"/>
        <v>1.340479620016044E-3</v>
      </c>
    </row>
    <row r="242" spans="1:9" x14ac:dyDescent="0.3">
      <c r="A242" s="1">
        <v>41952</v>
      </c>
      <c r="B242" s="5">
        <v>2665</v>
      </c>
      <c r="C242" s="3">
        <v>-9.2999999999999992E-3</v>
      </c>
      <c r="D242" s="5">
        <v>1603.88</v>
      </c>
      <c r="E242" s="6">
        <f t="shared" si="15"/>
        <v>-2.1302302308410348E-2</v>
      </c>
      <c r="F242" s="7">
        <v>5.5839999999999994E-2</v>
      </c>
      <c r="G242" s="7">
        <f t="shared" si="12"/>
        <v>1.0454818788891984E-3</v>
      </c>
      <c r="H242" s="9">
        <f t="shared" si="13"/>
        <v>-1.0345481878889198E-2</v>
      </c>
      <c r="I242" s="11">
        <f t="shared" si="14"/>
        <v>-2.2347784187299546E-2</v>
      </c>
    </row>
    <row r="243" spans="1:9" x14ac:dyDescent="0.3">
      <c r="A243" s="1">
        <v>41959</v>
      </c>
      <c r="B243" s="5">
        <v>2715</v>
      </c>
      <c r="C243" s="3">
        <v>1.8800000000000001E-2</v>
      </c>
      <c r="D243" s="5">
        <v>1598.59</v>
      </c>
      <c r="E243" s="6">
        <f t="shared" si="15"/>
        <v>-3.298251739531799E-3</v>
      </c>
      <c r="F243" s="7">
        <v>5.7539999999999994E-2</v>
      </c>
      <c r="G243" s="7">
        <f t="shared" si="12"/>
        <v>1.0764531194842331E-3</v>
      </c>
      <c r="H243" s="9">
        <f t="shared" si="13"/>
        <v>1.7723546880515768E-2</v>
      </c>
      <c r="I243" s="11">
        <f t="shared" si="14"/>
        <v>-4.374704859016032E-3</v>
      </c>
    </row>
    <row r="244" spans="1:9" x14ac:dyDescent="0.3">
      <c r="A244" s="1">
        <v>41966</v>
      </c>
      <c r="B244" s="5">
        <v>2290</v>
      </c>
      <c r="C244" s="3">
        <v>-0.1565</v>
      </c>
      <c r="D244" s="5">
        <v>1525.68</v>
      </c>
      <c r="E244" s="6">
        <f t="shared" si="15"/>
        <v>-4.5608942880913772E-2</v>
      </c>
      <c r="F244" s="7">
        <v>5.6980000000000003E-2</v>
      </c>
      <c r="G244" s="7">
        <f t="shared" si="12"/>
        <v>1.0662562249768026E-3</v>
      </c>
      <c r="H244" s="9">
        <f t="shared" si="13"/>
        <v>-0.1575662562249768</v>
      </c>
      <c r="I244" s="11">
        <f t="shared" si="14"/>
        <v>-4.6675199105890575E-2</v>
      </c>
    </row>
    <row r="245" spans="1:9" x14ac:dyDescent="0.3">
      <c r="A245" s="1">
        <v>41973</v>
      </c>
      <c r="B245" s="5">
        <v>2175</v>
      </c>
      <c r="C245" s="3">
        <v>-5.0200000000000002E-2</v>
      </c>
      <c r="D245" s="5">
        <v>1500.51</v>
      </c>
      <c r="E245" s="6">
        <f t="shared" si="15"/>
        <v>-1.6497561742960576E-2</v>
      </c>
      <c r="F245" s="7">
        <v>5.774E-2</v>
      </c>
      <c r="G245" s="7">
        <f t="shared" si="12"/>
        <v>1.0800935841630555E-3</v>
      </c>
      <c r="H245" s="9">
        <f t="shared" si="13"/>
        <v>-5.1280093584163057E-2</v>
      </c>
      <c r="I245" s="11">
        <f t="shared" si="14"/>
        <v>-1.7577655327123631E-2</v>
      </c>
    </row>
    <row r="246" spans="1:9" x14ac:dyDescent="0.3">
      <c r="A246" s="1">
        <v>41980</v>
      </c>
      <c r="B246" s="5">
        <v>1870</v>
      </c>
      <c r="C246" s="3">
        <v>-0.14019999999999999</v>
      </c>
      <c r="D246" s="5">
        <v>1382.75</v>
      </c>
      <c r="E246" s="6">
        <f t="shared" si="15"/>
        <v>-7.847998347228613E-2</v>
      </c>
      <c r="F246" s="7">
        <v>5.9000000000000004E-2</v>
      </c>
      <c r="G246" s="7">
        <f t="shared" si="12"/>
        <v>1.1030129991791426E-3</v>
      </c>
      <c r="H246" s="9">
        <f t="shared" si="13"/>
        <v>-0.14130301299917913</v>
      </c>
      <c r="I246" s="11">
        <f t="shared" si="14"/>
        <v>-7.9582996471465273E-2</v>
      </c>
    </row>
    <row r="247" spans="1:9" x14ac:dyDescent="0.3">
      <c r="A247" s="1">
        <v>41987</v>
      </c>
      <c r="B247" s="5">
        <v>2000</v>
      </c>
      <c r="C247" s="3">
        <v>6.9500000000000006E-2</v>
      </c>
      <c r="D247" s="5">
        <v>1462.06</v>
      </c>
      <c r="E247" s="6">
        <f t="shared" si="15"/>
        <v>5.7356716687759768E-2</v>
      </c>
      <c r="F247" s="7">
        <v>5.9810000000000002E-2</v>
      </c>
      <c r="G247" s="7">
        <f t="shared" si="12"/>
        <v>1.1177327900329104E-3</v>
      </c>
      <c r="H247" s="9">
        <f t="shared" si="13"/>
        <v>6.8382267209967096E-2</v>
      </c>
      <c r="I247" s="11">
        <f t="shared" si="14"/>
        <v>5.6238983897726857E-2</v>
      </c>
    </row>
    <row r="248" spans="1:9" x14ac:dyDescent="0.3">
      <c r="A248" s="1">
        <v>41994</v>
      </c>
      <c r="B248" s="5">
        <v>2085</v>
      </c>
      <c r="C248" s="3">
        <v>4.2500000000000003E-2</v>
      </c>
      <c r="D248" s="5">
        <v>1517.25</v>
      </c>
      <c r="E248" s="6">
        <f t="shared" si="15"/>
        <v>3.7748108832742933E-2</v>
      </c>
      <c r="F248" s="7">
        <v>5.953E-2</v>
      </c>
      <c r="G248" s="7">
        <f t="shared" si="12"/>
        <v>1.1126457154897462E-3</v>
      </c>
      <c r="H248" s="9">
        <f t="shared" si="13"/>
        <v>4.1387354284510257E-2</v>
      </c>
      <c r="I248" s="11">
        <f t="shared" si="14"/>
        <v>3.6635463117253186E-2</v>
      </c>
    </row>
    <row r="249" spans="1:9" x14ac:dyDescent="0.3">
      <c r="A249" s="1">
        <v>42001</v>
      </c>
      <c r="B249" s="5">
        <v>1955</v>
      </c>
      <c r="C249" s="3">
        <v>-6.2399999999999997E-2</v>
      </c>
      <c r="D249" s="5">
        <v>1483.89</v>
      </c>
      <c r="E249" s="6">
        <f t="shared" si="15"/>
        <v>-2.1987147800296536E-2</v>
      </c>
      <c r="F249" s="7">
        <v>5.9189999999999993E-2</v>
      </c>
      <c r="G249" s="7">
        <f t="shared" si="12"/>
        <v>1.1064667806748307E-3</v>
      </c>
      <c r="H249" s="9">
        <f t="shared" si="13"/>
        <v>-6.3506466780674828E-2</v>
      </c>
      <c r="I249" s="11">
        <f t="shared" si="14"/>
        <v>-2.3093614580971367E-2</v>
      </c>
    </row>
    <row r="250" spans="1:9" x14ac:dyDescent="0.3">
      <c r="A250" s="1">
        <v>42008</v>
      </c>
      <c r="B250" s="5">
        <v>1965</v>
      </c>
      <c r="C250" s="3">
        <v>5.1000000000000004E-3</v>
      </c>
      <c r="D250" s="5">
        <v>1426.77</v>
      </c>
      <c r="E250" s="6">
        <f t="shared" si="15"/>
        <v>-3.8493419323534894E-2</v>
      </c>
      <c r="F250" s="7">
        <v>5.8220000000000001E-2</v>
      </c>
      <c r="G250" s="7">
        <f t="shared" si="12"/>
        <v>1.0888279456786609E-3</v>
      </c>
      <c r="H250" s="9">
        <f t="shared" si="13"/>
        <v>4.0111720543213394E-3</v>
      </c>
      <c r="I250" s="11">
        <f t="shared" si="14"/>
        <v>-3.9582247269213555E-2</v>
      </c>
    </row>
    <row r="251" spans="1:9" x14ac:dyDescent="0.3">
      <c r="A251" s="1">
        <v>42015</v>
      </c>
      <c r="B251" s="5">
        <v>1880</v>
      </c>
      <c r="C251" s="3">
        <v>-4.3299999999999998E-2</v>
      </c>
      <c r="D251" s="5">
        <v>1376.3</v>
      </c>
      <c r="E251" s="6">
        <f t="shared" si="15"/>
        <v>-3.5373606117313994E-2</v>
      </c>
      <c r="F251" s="7">
        <v>5.8600000000000006E-2</v>
      </c>
      <c r="G251" s="7">
        <f t="shared" si="12"/>
        <v>1.0957398932802676E-3</v>
      </c>
      <c r="H251" s="9">
        <f t="shared" si="13"/>
        <v>-4.4395739893280266E-2</v>
      </c>
      <c r="I251" s="11">
        <f t="shared" si="14"/>
        <v>-3.6469346010594261E-2</v>
      </c>
    </row>
    <row r="252" spans="1:9" x14ac:dyDescent="0.3">
      <c r="A252" s="1">
        <v>42022</v>
      </c>
      <c r="B252" s="5">
        <v>2010</v>
      </c>
      <c r="C252" s="3">
        <v>6.9099999999999995E-2</v>
      </c>
      <c r="D252" s="5">
        <v>1423.28</v>
      </c>
      <c r="E252" s="6">
        <f t="shared" si="15"/>
        <v>3.4134999636707075E-2</v>
      </c>
      <c r="F252" s="7">
        <v>6.2350000000000003E-2</v>
      </c>
      <c r="G252" s="7">
        <f t="shared" si="12"/>
        <v>1.1638197012187046E-3</v>
      </c>
      <c r="H252" s="9">
        <f t="shared" si="13"/>
        <v>6.793618029878129E-2</v>
      </c>
      <c r="I252" s="11">
        <f t="shared" si="14"/>
        <v>3.2971179935488371E-2</v>
      </c>
    </row>
    <row r="253" spans="1:9" x14ac:dyDescent="0.3">
      <c r="A253" s="1">
        <v>42029</v>
      </c>
      <c r="B253" s="5">
        <v>1955</v>
      </c>
      <c r="C253" s="3">
        <v>-2.7400000000000001E-2</v>
      </c>
      <c r="D253" s="5">
        <v>1389</v>
      </c>
      <c r="E253" s="6">
        <f t="shared" si="15"/>
        <v>-2.4085211623854685E-2</v>
      </c>
      <c r="F253" s="7">
        <v>6.2179999999999999E-2</v>
      </c>
      <c r="G253" s="7">
        <f t="shared" si="12"/>
        <v>1.1607385204071008E-3</v>
      </c>
      <c r="H253" s="9">
        <f t="shared" si="13"/>
        <v>-2.8560738520407102E-2</v>
      </c>
      <c r="I253" s="11">
        <f t="shared" si="14"/>
        <v>-2.5245950144261786E-2</v>
      </c>
    </row>
    <row r="254" spans="1:9" x14ac:dyDescent="0.3">
      <c r="A254" s="1">
        <v>42036</v>
      </c>
      <c r="B254" s="5">
        <v>2215</v>
      </c>
      <c r="C254" s="3">
        <v>0.13300000000000001</v>
      </c>
      <c r="D254" s="5">
        <v>1437.03</v>
      </c>
      <c r="E254" s="6">
        <f t="shared" si="15"/>
        <v>3.4578833693304611E-2</v>
      </c>
      <c r="F254" s="7">
        <v>6.2050000000000001E-2</v>
      </c>
      <c r="G254" s="7">
        <f t="shared" si="12"/>
        <v>1.1583819969576137E-3</v>
      </c>
      <c r="H254" s="9">
        <f t="shared" si="13"/>
        <v>0.13184161800304239</v>
      </c>
      <c r="I254" s="11">
        <f t="shared" si="14"/>
        <v>3.3420451696346998E-2</v>
      </c>
    </row>
    <row r="255" spans="1:9" x14ac:dyDescent="0.3">
      <c r="A255" s="1">
        <v>42043</v>
      </c>
      <c r="B255" s="5">
        <v>2200</v>
      </c>
      <c r="C255" s="3">
        <v>-6.7999999999999996E-3</v>
      </c>
      <c r="D255" s="5">
        <v>1397.81</v>
      </c>
      <c r="E255" s="6">
        <f t="shared" si="15"/>
        <v>-2.7292401689595902E-2</v>
      </c>
      <c r="F255" s="7">
        <v>6.3600000000000004E-2</v>
      </c>
      <c r="G255" s="7">
        <f t="shared" si="12"/>
        <v>1.1864606032834235E-3</v>
      </c>
      <c r="H255" s="9">
        <f t="shared" si="13"/>
        <v>-7.986460603283424E-3</v>
      </c>
      <c r="I255" s="11">
        <f t="shared" si="14"/>
        <v>-2.8478862292879326E-2</v>
      </c>
    </row>
    <row r="256" spans="1:9" x14ac:dyDescent="0.3">
      <c r="A256" s="1">
        <v>42050</v>
      </c>
      <c r="B256" s="5">
        <v>2110</v>
      </c>
      <c r="C256" s="3">
        <v>-4.0899999999999999E-2</v>
      </c>
      <c r="D256" s="5">
        <v>1368.85</v>
      </c>
      <c r="E256" s="6">
        <f t="shared" si="15"/>
        <v>-2.0718123350097706E-2</v>
      </c>
      <c r="F256" s="7">
        <v>6.6500000000000004E-2</v>
      </c>
      <c r="G256" s="7">
        <f t="shared" si="12"/>
        <v>1.2388871514679156E-3</v>
      </c>
      <c r="H256" s="9">
        <f t="shared" si="13"/>
        <v>-4.2138887151467914E-2</v>
      </c>
      <c r="I256" s="11">
        <f t="shared" si="14"/>
        <v>-2.1957010501565621E-2</v>
      </c>
    </row>
    <row r="257" spans="1:9" x14ac:dyDescent="0.3">
      <c r="A257" s="1">
        <v>42057</v>
      </c>
      <c r="B257" s="5">
        <v>2085</v>
      </c>
      <c r="C257" s="3">
        <v>-1.18E-2</v>
      </c>
      <c r="D257" s="5">
        <v>1367.58</v>
      </c>
      <c r="E257" s="6">
        <f t="shared" si="15"/>
        <v>-9.2778609781929422E-4</v>
      </c>
      <c r="F257" s="7">
        <v>7.0999999999999994E-2</v>
      </c>
      <c r="G257" s="7">
        <f t="shared" si="12"/>
        <v>1.3199625282749317E-3</v>
      </c>
      <c r="H257" s="9">
        <f t="shared" si="13"/>
        <v>-1.3119962528274931E-2</v>
      </c>
      <c r="I257" s="11">
        <f t="shared" si="14"/>
        <v>-2.2477486260942259E-3</v>
      </c>
    </row>
    <row r="258" spans="1:9" x14ac:dyDescent="0.3">
      <c r="A258" s="1">
        <v>42064</v>
      </c>
      <c r="B258" s="5">
        <v>1875</v>
      </c>
      <c r="C258" s="3">
        <v>-0.1007</v>
      </c>
      <c r="D258" s="5">
        <v>1280.43</v>
      </c>
      <c r="E258" s="6">
        <f t="shared" si="15"/>
        <v>-6.37257052603869E-2</v>
      </c>
      <c r="F258" s="7">
        <v>6.837E-2</v>
      </c>
      <c r="G258" s="7">
        <f t="shared" si="12"/>
        <v>1.2726191412211207E-3</v>
      </c>
      <c r="H258" s="9">
        <f t="shared" si="13"/>
        <v>-0.10197261914122112</v>
      </c>
      <c r="I258" s="11">
        <f t="shared" si="14"/>
        <v>-6.4998324401608021E-2</v>
      </c>
    </row>
    <row r="259" spans="1:9" x14ac:dyDescent="0.3">
      <c r="A259" s="1">
        <v>42071</v>
      </c>
      <c r="B259" s="5">
        <v>1880</v>
      </c>
      <c r="C259" s="3">
        <v>2.7000000000000001E-3</v>
      </c>
      <c r="D259" s="5">
        <v>1281.95</v>
      </c>
      <c r="E259" s="6">
        <f t="shared" si="15"/>
        <v>1.1871012081878796E-3</v>
      </c>
      <c r="F259" s="7">
        <v>7.0400000000000004E-2</v>
      </c>
      <c r="G259" s="7">
        <f t="shared" ref="G259:G322" si="16">(1+F259)^(1/52)-1</f>
        <v>1.3091718026529975E-3</v>
      </c>
      <c r="H259" s="9">
        <f t="shared" ref="H259:H322" si="17">C259-G259</f>
        <v>1.3908281973470027E-3</v>
      </c>
      <c r="I259" s="11">
        <f t="shared" ref="I259:I322" si="18">E259-G259</f>
        <v>-1.2207059446511792E-4</v>
      </c>
    </row>
    <row r="260" spans="1:9" x14ac:dyDescent="0.3">
      <c r="A260" s="1">
        <v>42078</v>
      </c>
      <c r="B260" s="5">
        <v>1975</v>
      </c>
      <c r="C260" s="3">
        <v>5.0500000000000003E-2</v>
      </c>
      <c r="D260" s="5">
        <v>1292.3599999999999</v>
      </c>
      <c r="E260" s="6">
        <f t="shared" ref="E260:E323" si="19">D260/D259-1</f>
        <v>8.1204415148796727E-3</v>
      </c>
      <c r="F260" s="7">
        <v>7.1199999999999999E-2</v>
      </c>
      <c r="G260" s="7">
        <f t="shared" si="16"/>
        <v>1.323558119303625E-3</v>
      </c>
      <c r="H260" s="9">
        <f t="shared" si="17"/>
        <v>4.9176441880696378E-2</v>
      </c>
      <c r="I260" s="11">
        <f t="shared" si="18"/>
        <v>6.7968833955760477E-3</v>
      </c>
    </row>
    <row r="261" spans="1:9" x14ac:dyDescent="0.3">
      <c r="A261" s="1">
        <v>42085</v>
      </c>
      <c r="B261" s="5">
        <v>1970</v>
      </c>
      <c r="C261" s="3">
        <v>-2.5000000000000001E-3</v>
      </c>
      <c r="D261" s="5">
        <v>1294.9000000000001</v>
      </c>
      <c r="E261" s="6">
        <f t="shared" si="19"/>
        <v>1.9653966387076505E-3</v>
      </c>
      <c r="F261" s="7">
        <v>7.0050000000000001E-2</v>
      </c>
      <c r="G261" s="7">
        <f t="shared" si="16"/>
        <v>1.3028744728100783E-3</v>
      </c>
      <c r="H261" s="9">
        <f t="shared" si="17"/>
        <v>-3.8028744728100783E-3</v>
      </c>
      <c r="I261" s="11">
        <f t="shared" si="18"/>
        <v>6.6252216589757218E-4</v>
      </c>
    </row>
    <row r="262" spans="1:9" x14ac:dyDescent="0.3">
      <c r="A262" s="1">
        <v>42092</v>
      </c>
      <c r="B262" s="5">
        <v>2000</v>
      </c>
      <c r="C262" s="3">
        <v>1.52E-2</v>
      </c>
      <c r="D262" s="5">
        <v>1329.8</v>
      </c>
      <c r="E262" s="6">
        <f t="shared" si="19"/>
        <v>2.6951888176693028E-2</v>
      </c>
      <c r="F262" s="7">
        <v>6.9599999999999995E-2</v>
      </c>
      <c r="G262" s="7">
        <f t="shared" si="16"/>
        <v>1.2947749368010797E-3</v>
      </c>
      <c r="H262" s="9">
        <f t="shared" si="17"/>
        <v>1.390522506319892E-2</v>
      </c>
      <c r="I262" s="11">
        <f t="shared" si="18"/>
        <v>2.5657113239891949E-2</v>
      </c>
    </row>
    <row r="263" spans="1:9" x14ac:dyDescent="0.3">
      <c r="A263" s="1">
        <v>42099</v>
      </c>
      <c r="B263" s="5">
        <v>2020</v>
      </c>
      <c r="C263" s="3">
        <v>0.01</v>
      </c>
      <c r="D263" s="5">
        <v>1347.8</v>
      </c>
      <c r="E263" s="6">
        <f t="shared" si="19"/>
        <v>1.3535870055647381E-2</v>
      </c>
      <c r="F263" s="7">
        <v>7.0730000000000001E-2</v>
      </c>
      <c r="G263" s="7">
        <f t="shared" si="16"/>
        <v>1.3151074356470005E-3</v>
      </c>
      <c r="H263" s="9">
        <f t="shared" si="17"/>
        <v>8.6848925643529997E-3</v>
      </c>
      <c r="I263" s="11">
        <f t="shared" si="18"/>
        <v>1.222076262000038E-2</v>
      </c>
    </row>
    <row r="264" spans="1:9" x14ac:dyDescent="0.3">
      <c r="A264" s="1">
        <v>42106</v>
      </c>
      <c r="B264" s="5">
        <v>2060</v>
      </c>
      <c r="C264" s="3">
        <v>1.9800000000000002E-2</v>
      </c>
      <c r="D264" s="5">
        <v>1363.89</v>
      </c>
      <c r="E264" s="6">
        <f t="shared" si="19"/>
        <v>1.1937972993025792E-2</v>
      </c>
      <c r="F264" s="7">
        <v>7.0750000000000007E-2</v>
      </c>
      <c r="G264" s="7">
        <f t="shared" si="16"/>
        <v>1.3154671133133178E-3</v>
      </c>
      <c r="H264" s="9">
        <f t="shared" si="17"/>
        <v>1.8484532886686684E-2</v>
      </c>
      <c r="I264" s="11">
        <f t="shared" si="18"/>
        <v>1.0622505879712474E-2</v>
      </c>
    </row>
    <row r="265" spans="1:9" x14ac:dyDescent="0.3">
      <c r="A265" s="1">
        <v>42113</v>
      </c>
      <c r="B265" s="5">
        <v>2060</v>
      </c>
      <c r="C265" s="3">
        <v>0</v>
      </c>
      <c r="D265" s="5">
        <v>1374.49</v>
      </c>
      <c r="E265" s="6">
        <f t="shared" si="19"/>
        <v>7.7718877622094951E-3</v>
      </c>
      <c r="F265" s="7">
        <v>7.2900000000000006E-2</v>
      </c>
      <c r="G265" s="7">
        <f t="shared" si="16"/>
        <v>1.3540940867160511E-3</v>
      </c>
      <c r="H265" s="9">
        <f t="shared" si="17"/>
        <v>-1.3540940867160511E-3</v>
      </c>
      <c r="I265" s="11">
        <f t="shared" si="18"/>
        <v>6.4177936754934439E-3</v>
      </c>
    </row>
    <row r="266" spans="1:9" x14ac:dyDescent="0.3">
      <c r="A266" s="1">
        <v>42120</v>
      </c>
      <c r="B266" s="5">
        <v>2030</v>
      </c>
      <c r="C266" s="3">
        <v>-1.46E-2</v>
      </c>
      <c r="D266" s="5">
        <v>1396.35</v>
      </c>
      <c r="E266" s="6">
        <f t="shared" si="19"/>
        <v>1.590408078632799E-2</v>
      </c>
      <c r="F266" s="7">
        <v>7.3099999999999998E-2</v>
      </c>
      <c r="G266" s="7">
        <f t="shared" si="16"/>
        <v>1.3576834332342802E-3</v>
      </c>
      <c r="H266" s="9">
        <f t="shared" si="17"/>
        <v>-1.5957683433234282E-2</v>
      </c>
      <c r="I266" s="11">
        <f t="shared" si="18"/>
        <v>1.454639735309371E-2</v>
      </c>
    </row>
    <row r="267" spans="1:9" x14ac:dyDescent="0.3">
      <c r="A267" s="1">
        <v>42127</v>
      </c>
      <c r="B267" s="5">
        <v>1940</v>
      </c>
      <c r="C267" s="3">
        <v>-4.4299999999999999E-2</v>
      </c>
      <c r="D267" s="5">
        <v>1367.28</v>
      </c>
      <c r="E267" s="6">
        <f t="shared" si="19"/>
        <v>-2.0818562681276132E-2</v>
      </c>
      <c r="F267" s="7">
        <v>7.4099999999999999E-2</v>
      </c>
      <c r="G267" s="7">
        <f t="shared" si="16"/>
        <v>1.3756203300203662E-3</v>
      </c>
      <c r="H267" s="9">
        <f t="shared" si="17"/>
        <v>-4.5675620330020365E-2</v>
      </c>
      <c r="I267" s="11">
        <f t="shared" si="18"/>
        <v>-2.2194183011296498E-2</v>
      </c>
    </row>
    <row r="268" spans="1:9" x14ac:dyDescent="0.3">
      <c r="A268" s="1">
        <v>42134</v>
      </c>
      <c r="B268" s="5">
        <v>1965</v>
      </c>
      <c r="C268" s="3">
        <v>1.29E-2</v>
      </c>
      <c r="D268" s="5">
        <v>1357</v>
      </c>
      <c r="E268" s="6">
        <f t="shared" si="19"/>
        <v>-7.5185770288456188E-3</v>
      </c>
      <c r="F268" s="7">
        <v>7.5079999999999994E-2</v>
      </c>
      <c r="G268" s="7">
        <f t="shared" si="16"/>
        <v>1.3931826056758911E-3</v>
      </c>
      <c r="H268" s="9">
        <f t="shared" si="17"/>
        <v>1.1506817394324109E-2</v>
      </c>
      <c r="I268" s="11">
        <f t="shared" si="18"/>
        <v>-8.91175963452151E-3</v>
      </c>
    </row>
    <row r="269" spans="1:9" x14ac:dyDescent="0.3">
      <c r="A269" s="1">
        <v>42141</v>
      </c>
      <c r="B269" s="5">
        <v>1935</v>
      </c>
      <c r="C269" s="3">
        <v>-1.5299999999999999E-2</v>
      </c>
      <c r="D269" s="5">
        <v>1353.62</v>
      </c>
      <c r="E269" s="6">
        <f t="shared" si="19"/>
        <v>-2.4907885040531541E-3</v>
      </c>
      <c r="F269" s="7">
        <v>7.4800000000000005E-2</v>
      </c>
      <c r="G269" s="7">
        <f t="shared" si="16"/>
        <v>1.3881664153188034E-3</v>
      </c>
      <c r="H269" s="9">
        <f t="shared" si="17"/>
        <v>-1.6688166415318804E-2</v>
      </c>
      <c r="I269" s="11">
        <f t="shared" si="18"/>
        <v>-3.8789549193719575E-3</v>
      </c>
    </row>
    <row r="270" spans="1:9" x14ac:dyDescent="0.3">
      <c r="A270" s="1">
        <v>42148</v>
      </c>
      <c r="B270" s="5">
        <v>1815</v>
      </c>
      <c r="C270" s="3">
        <v>-6.2E-2</v>
      </c>
      <c r="D270" s="5">
        <v>1306.6199999999999</v>
      </c>
      <c r="E270" s="6">
        <f t="shared" si="19"/>
        <v>-3.4721709194604156E-2</v>
      </c>
      <c r="F270" s="7">
        <v>7.8700000000000006E-2</v>
      </c>
      <c r="G270" s="7">
        <f t="shared" si="16"/>
        <v>1.4579196638053737E-3</v>
      </c>
      <c r="H270" s="9">
        <f t="shared" si="17"/>
        <v>-6.3457919663805373E-2</v>
      </c>
      <c r="I270" s="11">
        <f t="shared" si="18"/>
        <v>-3.6179628858409529E-2</v>
      </c>
    </row>
    <row r="271" spans="1:9" x14ac:dyDescent="0.3">
      <c r="A271" s="1">
        <v>42155</v>
      </c>
      <c r="B271" s="5">
        <v>1815</v>
      </c>
      <c r="C271" s="3">
        <v>0</v>
      </c>
      <c r="D271" s="5">
        <v>1320.31</v>
      </c>
      <c r="E271" s="6">
        <f t="shared" si="19"/>
        <v>1.047741500971977E-2</v>
      </c>
      <c r="F271" s="7">
        <v>7.8E-2</v>
      </c>
      <c r="G271" s="7">
        <f t="shared" si="16"/>
        <v>1.4454180821008578E-3</v>
      </c>
      <c r="H271" s="9">
        <f t="shared" si="17"/>
        <v>-1.4454180821008578E-3</v>
      </c>
      <c r="I271" s="11">
        <f t="shared" si="18"/>
        <v>9.0319969276189127E-3</v>
      </c>
    </row>
    <row r="272" spans="1:9" x14ac:dyDescent="0.3">
      <c r="A272" s="1">
        <v>42162</v>
      </c>
      <c r="B272" s="5">
        <v>1790</v>
      </c>
      <c r="C272" s="3">
        <v>-1.38E-2</v>
      </c>
      <c r="D272" s="5">
        <v>1330.18</v>
      </c>
      <c r="E272" s="6">
        <f t="shared" si="19"/>
        <v>7.4755171134053278E-3</v>
      </c>
      <c r="F272" s="7">
        <v>7.6499999999999999E-2</v>
      </c>
      <c r="G272" s="7">
        <f t="shared" si="16"/>
        <v>1.4186021466207066E-3</v>
      </c>
      <c r="H272" s="9">
        <f t="shared" si="17"/>
        <v>-1.5218602146620706E-2</v>
      </c>
      <c r="I272" s="11">
        <f t="shared" si="18"/>
        <v>6.0569149667846212E-3</v>
      </c>
    </row>
    <row r="273" spans="1:9" x14ac:dyDescent="0.3">
      <c r="A273" s="1">
        <v>42169</v>
      </c>
      <c r="B273" s="5">
        <v>1635</v>
      </c>
      <c r="C273" s="3">
        <v>-8.6599999999999996E-2</v>
      </c>
      <c r="D273" s="5">
        <v>1307.51</v>
      </c>
      <c r="E273" s="6">
        <f t="shared" si="19"/>
        <v>-1.7042806236749919E-2</v>
      </c>
      <c r="F273" s="7">
        <v>7.7149999999999996E-2</v>
      </c>
      <c r="G273" s="7">
        <f t="shared" si="16"/>
        <v>1.4302268818946473E-3</v>
      </c>
      <c r="H273" s="9">
        <f t="shared" si="17"/>
        <v>-8.8030226881894644E-2</v>
      </c>
      <c r="I273" s="11">
        <f t="shared" si="18"/>
        <v>-1.8473033118644566E-2</v>
      </c>
    </row>
    <row r="274" spans="1:9" x14ac:dyDescent="0.3">
      <c r="A274" s="1">
        <v>42176</v>
      </c>
      <c r="B274" s="5">
        <v>1710</v>
      </c>
      <c r="C274" s="3">
        <v>4.5900000000000003E-2</v>
      </c>
      <c r="D274" s="5">
        <v>1321.82</v>
      </c>
      <c r="E274" s="6">
        <f t="shared" si="19"/>
        <v>1.0944466963923816E-2</v>
      </c>
      <c r="F274" s="7">
        <v>7.980000000000001E-2</v>
      </c>
      <c r="G274" s="7">
        <f t="shared" si="16"/>
        <v>1.4775489398886066E-3</v>
      </c>
      <c r="H274" s="9">
        <f t="shared" si="17"/>
        <v>4.4422451060111397E-2</v>
      </c>
      <c r="I274" s="11">
        <f t="shared" si="18"/>
        <v>9.4669180240352091E-3</v>
      </c>
    </row>
    <row r="275" spans="1:9" x14ac:dyDescent="0.3">
      <c r="A275" s="1">
        <v>42183</v>
      </c>
      <c r="B275" s="5">
        <v>1650</v>
      </c>
      <c r="C275" s="3">
        <v>-3.5099999999999999E-2</v>
      </c>
      <c r="D275" s="5">
        <v>1312.67</v>
      </c>
      <c r="E275" s="6">
        <f t="shared" si="19"/>
        <v>-6.9222738345613433E-3</v>
      </c>
      <c r="F275" s="7">
        <v>7.9009999999999997E-2</v>
      </c>
      <c r="G275" s="7">
        <f t="shared" si="16"/>
        <v>1.4634535367001877E-3</v>
      </c>
      <c r="H275" s="9">
        <f t="shared" si="17"/>
        <v>-3.6563453536700187E-2</v>
      </c>
      <c r="I275" s="11">
        <f t="shared" si="18"/>
        <v>-8.385727371261531E-3</v>
      </c>
    </row>
    <row r="276" spans="1:9" x14ac:dyDescent="0.3">
      <c r="A276" s="1">
        <v>42190</v>
      </c>
      <c r="B276" s="5">
        <v>1625</v>
      </c>
      <c r="C276" s="3">
        <v>-1.52E-2</v>
      </c>
      <c r="D276" s="5">
        <v>1310.5899999999999</v>
      </c>
      <c r="E276" s="6">
        <f t="shared" si="19"/>
        <v>-1.5845566669461242E-3</v>
      </c>
      <c r="F276" s="7">
        <v>7.9899999999999999E-2</v>
      </c>
      <c r="G276" s="7">
        <f t="shared" si="16"/>
        <v>1.4793324469308811E-3</v>
      </c>
      <c r="H276" s="9">
        <f t="shared" si="17"/>
        <v>-1.6679332446930879E-2</v>
      </c>
      <c r="I276" s="11">
        <f t="shared" si="18"/>
        <v>-3.0638891138770052E-3</v>
      </c>
    </row>
    <row r="277" spans="1:9" x14ac:dyDescent="0.3">
      <c r="A277" s="1">
        <v>42197</v>
      </c>
      <c r="B277" s="5">
        <v>1610</v>
      </c>
      <c r="C277" s="3">
        <v>-9.1999999999999998E-3</v>
      </c>
      <c r="D277" s="5">
        <v>1309.45</v>
      </c>
      <c r="E277" s="6">
        <f t="shared" si="19"/>
        <v>-8.6983724887257363E-4</v>
      </c>
      <c r="F277" s="7">
        <v>0.08</v>
      </c>
      <c r="G277" s="7">
        <f t="shared" si="16"/>
        <v>1.4811157920018303E-3</v>
      </c>
      <c r="H277" s="9">
        <f t="shared" si="17"/>
        <v>-1.068111579200183E-2</v>
      </c>
      <c r="I277" s="11">
        <f t="shared" si="18"/>
        <v>-2.3509530408744039E-3</v>
      </c>
    </row>
    <row r="278" spans="1:9" x14ac:dyDescent="0.3">
      <c r="A278" s="1">
        <v>42204</v>
      </c>
      <c r="B278" s="5">
        <v>1585</v>
      </c>
      <c r="C278" s="3">
        <v>-1.55E-2</v>
      </c>
      <c r="D278" s="5">
        <v>1303.25</v>
      </c>
      <c r="E278" s="6">
        <f t="shared" si="19"/>
        <v>-4.7348123257856534E-3</v>
      </c>
      <c r="F278" s="7">
        <v>8.0399999999999985E-2</v>
      </c>
      <c r="G278" s="7">
        <f t="shared" si="16"/>
        <v>1.4882475531650119E-3</v>
      </c>
      <c r="H278" s="9">
        <f t="shared" si="17"/>
        <v>-1.6988247553165012E-2</v>
      </c>
      <c r="I278" s="11">
        <f t="shared" si="18"/>
        <v>-6.2230598789506653E-3</v>
      </c>
    </row>
    <row r="279" spans="1:9" x14ac:dyDescent="0.3">
      <c r="A279" s="1">
        <v>42211</v>
      </c>
      <c r="B279" s="5">
        <v>1610</v>
      </c>
      <c r="C279" s="3">
        <v>1.5800000000000002E-2</v>
      </c>
      <c r="D279" s="5">
        <v>1317.24</v>
      </c>
      <c r="E279" s="6">
        <f t="shared" si="19"/>
        <v>1.0734701707270311E-2</v>
      </c>
      <c r="F279" s="7">
        <v>8.4100000000000008E-2</v>
      </c>
      <c r="G279" s="7">
        <f t="shared" si="16"/>
        <v>1.5540938480920197E-3</v>
      </c>
      <c r="H279" s="9">
        <f t="shared" si="17"/>
        <v>1.4245906151907982E-2</v>
      </c>
      <c r="I279" s="11">
        <f t="shared" si="18"/>
        <v>9.1806078591782914E-3</v>
      </c>
    </row>
    <row r="280" spans="1:9" x14ac:dyDescent="0.3">
      <c r="A280" s="1">
        <v>42218</v>
      </c>
      <c r="B280" s="5">
        <v>1565</v>
      </c>
      <c r="C280" s="3">
        <v>-2.8000000000000001E-2</v>
      </c>
      <c r="D280" s="5">
        <v>1290.79</v>
      </c>
      <c r="E280" s="6">
        <f t="shared" si="19"/>
        <v>-2.0079863957972788E-2</v>
      </c>
      <c r="F280" s="7">
        <v>8.4199999999999997E-2</v>
      </c>
      <c r="G280" s="7">
        <f t="shared" si="16"/>
        <v>1.5558704170859361E-3</v>
      </c>
      <c r="H280" s="9">
        <f t="shared" si="17"/>
        <v>-2.9555870417085937E-2</v>
      </c>
      <c r="I280" s="11">
        <f t="shared" si="18"/>
        <v>-2.1635734375058724E-2</v>
      </c>
    </row>
    <row r="281" spans="1:9" x14ac:dyDescent="0.3">
      <c r="A281" s="1">
        <v>42225</v>
      </c>
      <c r="B281" s="5">
        <v>1510</v>
      </c>
      <c r="C281" s="3">
        <v>-3.5099999999999999E-2</v>
      </c>
      <c r="D281" s="5">
        <v>1269.22</v>
      </c>
      <c r="E281" s="6">
        <f t="shared" si="19"/>
        <v>-1.6710696550174653E-2</v>
      </c>
      <c r="F281" s="7">
        <v>8.1600000000000006E-2</v>
      </c>
      <c r="G281" s="7">
        <f t="shared" si="16"/>
        <v>1.5096273092363166E-3</v>
      </c>
      <c r="H281" s="9">
        <f t="shared" si="17"/>
        <v>-3.6609627309236316E-2</v>
      </c>
      <c r="I281" s="11">
        <f t="shared" si="18"/>
        <v>-1.822032385941097E-2</v>
      </c>
    </row>
    <row r="282" spans="1:9" x14ac:dyDescent="0.3">
      <c r="A282" s="1">
        <v>42232</v>
      </c>
      <c r="B282" s="5">
        <v>1460</v>
      </c>
      <c r="C282" s="3">
        <v>-3.3099999999999997E-2</v>
      </c>
      <c r="D282" s="5">
        <v>1192.75</v>
      </c>
      <c r="E282" s="6">
        <f t="shared" si="19"/>
        <v>-6.0249602117836143E-2</v>
      </c>
      <c r="F282" s="7">
        <v>7.85E-2</v>
      </c>
      <c r="G282" s="7">
        <f t="shared" si="16"/>
        <v>1.4543485954083835E-3</v>
      </c>
      <c r="H282" s="9">
        <f t="shared" si="17"/>
        <v>-3.4554348595408381E-2</v>
      </c>
      <c r="I282" s="11">
        <f t="shared" si="18"/>
        <v>-6.1703950713244526E-2</v>
      </c>
    </row>
    <row r="283" spans="1:9" x14ac:dyDescent="0.3">
      <c r="A283" s="1">
        <v>42239</v>
      </c>
      <c r="B283" s="5">
        <v>1545</v>
      </c>
      <c r="C283" s="3">
        <v>5.8200000000000002E-2</v>
      </c>
      <c r="D283" s="5">
        <v>1217.95</v>
      </c>
      <c r="E283" s="6">
        <f t="shared" si="19"/>
        <v>2.1127646195766125E-2</v>
      </c>
      <c r="F283" s="7">
        <v>7.6200000000000004E-2</v>
      </c>
      <c r="G283" s="7">
        <f t="shared" si="16"/>
        <v>1.4132345621302722E-3</v>
      </c>
      <c r="H283" s="9">
        <f t="shared" si="17"/>
        <v>5.678676543786973E-2</v>
      </c>
      <c r="I283" s="11">
        <f t="shared" si="18"/>
        <v>1.9714411633635853E-2</v>
      </c>
    </row>
    <row r="284" spans="1:9" x14ac:dyDescent="0.3">
      <c r="A284" s="1">
        <v>42246</v>
      </c>
      <c r="B284" s="5">
        <v>1500</v>
      </c>
      <c r="C284" s="3">
        <v>-2.9100000000000001E-2</v>
      </c>
      <c r="D284" s="5">
        <v>1235.97</v>
      </c>
      <c r="E284" s="6">
        <f t="shared" si="19"/>
        <v>1.4795352846997067E-2</v>
      </c>
      <c r="F284" s="7">
        <v>7.4999999999999997E-2</v>
      </c>
      <c r="G284" s="7">
        <f t="shared" si="16"/>
        <v>1.3917495391904122E-3</v>
      </c>
      <c r="H284" s="9">
        <f t="shared" si="17"/>
        <v>-3.0491749539190413E-2</v>
      </c>
      <c r="I284" s="11">
        <f t="shared" si="18"/>
        <v>1.3403603307806655E-2</v>
      </c>
    </row>
    <row r="285" spans="1:9" x14ac:dyDescent="0.3">
      <c r="A285" s="1">
        <v>42253</v>
      </c>
      <c r="B285" s="5">
        <v>1405</v>
      </c>
      <c r="C285" s="3">
        <v>-6.3299999999999995E-2</v>
      </c>
      <c r="D285" s="5">
        <v>1249.58</v>
      </c>
      <c r="E285" s="6">
        <f t="shared" si="19"/>
        <v>1.101159413254349E-2</v>
      </c>
      <c r="F285" s="7">
        <v>7.5950000000000004E-2</v>
      </c>
      <c r="G285" s="7">
        <f t="shared" si="16"/>
        <v>1.4087604539396725E-3</v>
      </c>
      <c r="H285" s="9">
        <f t="shared" si="17"/>
        <v>-6.4708760453939668E-2</v>
      </c>
      <c r="I285" s="11">
        <f t="shared" si="18"/>
        <v>9.6028336786038171E-3</v>
      </c>
    </row>
    <row r="286" spans="1:9" x14ac:dyDescent="0.3">
      <c r="A286" s="1">
        <v>42260</v>
      </c>
      <c r="B286" s="5">
        <v>1425</v>
      </c>
      <c r="C286" s="3">
        <v>1.4200000000000001E-2</v>
      </c>
      <c r="D286" s="5">
        <v>1248.58</v>
      </c>
      <c r="E286" s="6">
        <f t="shared" si="19"/>
        <v>-8.0026889034712223E-4</v>
      </c>
      <c r="F286" s="7">
        <v>7.51E-2</v>
      </c>
      <c r="G286" s="7">
        <f t="shared" si="16"/>
        <v>1.3935408559553331E-3</v>
      </c>
      <c r="H286" s="9">
        <f t="shared" si="17"/>
        <v>1.2806459144044668E-2</v>
      </c>
      <c r="I286" s="11">
        <f t="shared" si="18"/>
        <v>-2.1938097463024553E-3</v>
      </c>
    </row>
    <row r="287" spans="1:9" x14ac:dyDescent="0.3">
      <c r="A287" s="1">
        <v>42267</v>
      </c>
      <c r="B287" s="5">
        <v>1350</v>
      </c>
      <c r="C287" s="3">
        <v>-5.2600000000000001E-2</v>
      </c>
      <c r="D287" s="5">
        <v>1215.27</v>
      </c>
      <c r="E287" s="6">
        <f t="shared" si="19"/>
        <v>-2.6678306556247811E-2</v>
      </c>
      <c r="F287" s="7">
        <v>7.7100000000000002E-2</v>
      </c>
      <c r="G287" s="7">
        <f t="shared" si="16"/>
        <v>1.4293329157810675E-3</v>
      </c>
      <c r="H287" s="9">
        <f t="shared" si="17"/>
        <v>-5.4029332915781068E-2</v>
      </c>
      <c r="I287" s="11">
        <f t="shared" si="18"/>
        <v>-2.8107639472028878E-2</v>
      </c>
    </row>
    <row r="288" spans="1:9" x14ac:dyDescent="0.3">
      <c r="A288" s="1">
        <v>42274</v>
      </c>
      <c r="B288" s="5">
        <v>1340</v>
      </c>
      <c r="C288" s="3">
        <v>-7.4000000000000003E-3</v>
      </c>
      <c r="D288" s="5">
        <v>1218.08</v>
      </c>
      <c r="E288" s="6">
        <f t="shared" si="19"/>
        <v>2.3122433697861933E-3</v>
      </c>
      <c r="F288" s="7">
        <v>7.7300000000000008E-2</v>
      </c>
      <c r="G288" s="7">
        <f t="shared" si="16"/>
        <v>1.4329085360631488E-3</v>
      </c>
      <c r="H288" s="9">
        <f t="shared" si="17"/>
        <v>-8.8329085360631492E-3</v>
      </c>
      <c r="I288" s="11">
        <f t="shared" si="18"/>
        <v>8.7933483372304444E-4</v>
      </c>
    </row>
    <row r="289" spans="1:9" x14ac:dyDescent="0.3">
      <c r="A289" s="1">
        <v>42281</v>
      </c>
      <c r="B289" s="5">
        <v>1500</v>
      </c>
      <c r="C289" s="3">
        <v>0.11940000000000001</v>
      </c>
      <c r="D289" s="5">
        <v>1280.18</v>
      </c>
      <c r="E289" s="6">
        <f t="shared" si="19"/>
        <v>5.0981873111782594E-2</v>
      </c>
      <c r="F289" s="7">
        <v>7.6200000000000004E-2</v>
      </c>
      <c r="G289" s="7">
        <f t="shared" si="16"/>
        <v>1.4132345621302722E-3</v>
      </c>
      <c r="H289" s="9">
        <f t="shared" si="17"/>
        <v>0.11798676543786973</v>
      </c>
      <c r="I289" s="11">
        <f t="shared" si="18"/>
        <v>4.9568638549652322E-2</v>
      </c>
    </row>
    <row r="290" spans="1:9" x14ac:dyDescent="0.3">
      <c r="A290" s="1">
        <v>42288</v>
      </c>
      <c r="B290" s="5">
        <v>1460</v>
      </c>
      <c r="C290" s="3">
        <v>-2.6700000000000002E-2</v>
      </c>
      <c r="D290" s="5">
        <v>1251.5899999999999</v>
      </c>
      <c r="E290" s="6">
        <f t="shared" si="19"/>
        <v>-2.2332796950429001E-2</v>
      </c>
      <c r="F290" s="7">
        <v>7.8299999999999995E-2</v>
      </c>
      <c r="G290" s="7">
        <f t="shared" si="16"/>
        <v>1.4507768774587593E-3</v>
      </c>
      <c r="H290" s="9">
        <f t="shared" si="17"/>
        <v>-2.8150776877458761E-2</v>
      </c>
      <c r="I290" s="11">
        <f t="shared" si="18"/>
        <v>-2.3783573827887761E-2</v>
      </c>
    </row>
    <row r="291" spans="1:9" x14ac:dyDescent="0.3">
      <c r="A291" s="1">
        <v>42295</v>
      </c>
      <c r="B291" s="5">
        <v>1370</v>
      </c>
      <c r="C291" s="3">
        <v>-6.1600000000000002E-2</v>
      </c>
      <c r="D291" s="5">
        <v>1249.1199999999999</v>
      </c>
      <c r="E291" s="6">
        <f t="shared" si="19"/>
        <v>-1.9734897210748059E-3</v>
      </c>
      <c r="F291" s="7">
        <v>7.7399999999999997E-2</v>
      </c>
      <c r="G291" s="7">
        <f t="shared" si="16"/>
        <v>1.434696102069033E-3</v>
      </c>
      <c r="H291" s="9">
        <f t="shared" si="17"/>
        <v>-6.3034696102069035E-2</v>
      </c>
      <c r="I291" s="11">
        <f t="shared" si="18"/>
        <v>-3.4081858231438389E-3</v>
      </c>
    </row>
    <row r="292" spans="1:9" x14ac:dyDescent="0.3">
      <c r="A292" s="1">
        <v>42302</v>
      </c>
      <c r="B292" s="5">
        <v>1350</v>
      </c>
      <c r="C292" s="3">
        <v>-1.46E-2</v>
      </c>
      <c r="D292" s="5">
        <v>1218.1300000000001</v>
      </c>
      <c r="E292" s="6">
        <f t="shared" si="19"/>
        <v>-2.4809465863968039E-2</v>
      </c>
      <c r="F292" s="7">
        <v>7.6299999999999993E-2</v>
      </c>
      <c r="G292" s="7">
        <f t="shared" si="16"/>
        <v>1.4150239199965942E-3</v>
      </c>
      <c r="H292" s="9">
        <f t="shared" si="17"/>
        <v>-1.6015023919996596E-2</v>
      </c>
      <c r="I292" s="11">
        <f t="shared" si="18"/>
        <v>-2.6224489783964633E-2</v>
      </c>
    </row>
    <row r="293" spans="1:9" x14ac:dyDescent="0.3">
      <c r="A293" s="1">
        <v>42309</v>
      </c>
      <c r="B293" s="5">
        <v>1410</v>
      </c>
      <c r="C293" s="3">
        <v>4.4400000000000002E-2</v>
      </c>
      <c r="D293" s="5">
        <v>1222.8699999999999</v>
      </c>
      <c r="E293" s="6">
        <f t="shared" si="19"/>
        <v>3.8912102977513019E-3</v>
      </c>
      <c r="F293" s="7">
        <v>7.7600000000000002E-2</v>
      </c>
      <c r="G293" s="7">
        <f t="shared" si="16"/>
        <v>1.4382707459610344E-3</v>
      </c>
      <c r="H293" s="9">
        <f t="shared" si="17"/>
        <v>4.2961729254038968E-2</v>
      </c>
      <c r="I293" s="11">
        <f t="shared" si="18"/>
        <v>2.4529395517902675E-3</v>
      </c>
    </row>
    <row r="294" spans="1:9" x14ac:dyDescent="0.3">
      <c r="A294" s="1">
        <v>42316</v>
      </c>
      <c r="B294" s="5">
        <v>1350</v>
      </c>
      <c r="C294" s="3">
        <v>-4.2599999999999999E-2</v>
      </c>
      <c r="D294" s="5">
        <v>1152.1300000000001</v>
      </c>
      <c r="E294" s="6">
        <f t="shared" si="19"/>
        <v>-5.7847522631187087E-2</v>
      </c>
      <c r="F294" s="7">
        <v>7.8700000000000006E-2</v>
      </c>
      <c r="G294" s="7">
        <f t="shared" si="16"/>
        <v>1.4579196638053737E-3</v>
      </c>
      <c r="H294" s="9">
        <f t="shared" si="17"/>
        <v>-4.4057919663805373E-2</v>
      </c>
      <c r="I294" s="11">
        <f t="shared" si="18"/>
        <v>-5.9305442294992461E-2</v>
      </c>
    </row>
    <row r="295" spans="1:9" x14ac:dyDescent="0.3">
      <c r="A295" s="1">
        <v>42323</v>
      </c>
      <c r="B295" s="5">
        <v>1295</v>
      </c>
      <c r="C295" s="3">
        <v>-4.07E-2</v>
      </c>
      <c r="D295" s="5">
        <v>1139.17</v>
      </c>
      <c r="E295" s="6">
        <f t="shared" si="19"/>
        <v>-1.1248730611996938E-2</v>
      </c>
      <c r="F295" s="7">
        <v>7.551999999999999E-2</v>
      </c>
      <c r="G295" s="7">
        <f t="shared" si="16"/>
        <v>1.4010626023153172E-3</v>
      </c>
      <c r="H295" s="9">
        <f t="shared" si="17"/>
        <v>-4.2101062602315317E-2</v>
      </c>
      <c r="I295" s="11">
        <f t="shared" si="18"/>
        <v>-1.2649793214312255E-2</v>
      </c>
    </row>
    <row r="296" spans="1:9" x14ac:dyDescent="0.3">
      <c r="A296" s="1">
        <v>42330</v>
      </c>
      <c r="B296" s="5">
        <v>1300</v>
      </c>
      <c r="C296" s="3">
        <v>3.8999999999999998E-3</v>
      </c>
      <c r="D296" s="5">
        <v>1092.95</v>
      </c>
      <c r="E296" s="6">
        <f t="shared" si="19"/>
        <v>-4.0573399931529086E-2</v>
      </c>
      <c r="F296" s="7">
        <v>7.6399999999999996E-2</v>
      </c>
      <c r="G296" s="7">
        <f t="shared" si="16"/>
        <v>1.416813114816895E-3</v>
      </c>
      <c r="H296" s="9">
        <f t="shared" si="17"/>
        <v>2.4831868851831048E-3</v>
      </c>
      <c r="I296" s="11">
        <f t="shared" si="18"/>
        <v>-4.1990213046345981E-2</v>
      </c>
    </row>
    <row r="297" spans="1:9" x14ac:dyDescent="0.3">
      <c r="A297" s="1">
        <v>42337</v>
      </c>
      <c r="B297" s="5">
        <v>1205</v>
      </c>
      <c r="C297" s="3">
        <v>-7.3099999999999998E-2</v>
      </c>
      <c r="D297" s="5">
        <v>1070.93</v>
      </c>
      <c r="E297" s="6">
        <f t="shared" si="19"/>
        <v>-2.0147307745093546E-2</v>
      </c>
      <c r="F297" s="7">
        <v>7.5899999999999995E-2</v>
      </c>
      <c r="G297" s="7">
        <f t="shared" si="16"/>
        <v>1.4078655099529769E-3</v>
      </c>
      <c r="H297" s="9">
        <f t="shared" si="17"/>
        <v>-7.4507865509952975E-2</v>
      </c>
      <c r="I297" s="11">
        <f t="shared" si="18"/>
        <v>-2.1555173255046522E-2</v>
      </c>
    </row>
    <row r="298" spans="1:9" x14ac:dyDescent="0.3">
      <c r="A298" s="1">
        <v>42344</v>
      </c>
      <c r="B298" s="5">
        <v>1105</v>
      </c>
      <c r="C298" s="3">
        <v>-8.3000000000000004E-2</v>
      </c>
      <c r="D298" s="5">
        <v>1074.8800000000001</v>
      </c>
      <c r="E298" s="6">
        <f t="shared" si="19"/>
        <v>3.6883829942200297E-3</v>
      </c>
      <c r="F298" s="7">
        <v>7.4900000000000008E-2</v>
      </c>
      <c r="G298" s="7">
        <f t="shared" si="16"/>
        <v>1.3899580589882277E-3</v>
      </c>
      <c r="H298" s="9">
        <f t="shared" si="17"/>
        <v>-8.4389958058988232E-2</v>
      </c>
      <c r="I298" s="11">
        <f t="shared" si="18"/>
        <v>2.298424935231802E-3</v>
      </c>
    </row>
    <row r="299" spans="1:9" x14ac:dyDescent="0.3">
      <c r="A299" s="1">
        <v>42351</v>
      </c>
      <c r="B299" s="5">
        <v>1230</v>
      </c>
      <c r="C299" s="3">
        <v>0.11310000000000001</v>
      </c>
      <c r="D299" s="5">
        <v>1139.99</v>
      </c>
      <c r="E299" s="6">
        <f t="shared" si="19"/>
        <v>6.0574203632033141E-2</v>
      </c>
      <c r="F299" s="7">
        <v>7.0699999999999999E-2</v>
      </c>
      <c r="G299" s="7">
        <f t="shared" si="16"/>
        <v>1.3145679067927407E-3</v>
      </c>
      <c r="H299" s="9">
        <f t="shared" si="17"/>
        <v>0.11178543209320727</v>
      </c>
      <c r="I299" s="11">
        <f t="shared" si="18"/>
        <v>5.92596357252404E-2</v>
      </c>
    </row>
    <row r="300" spans="1:9" x14ac:dyDescent="0.3">
      <c r="A300" s="1">
        <v>42358</v>
      </c>
      <c r="B300" s="5">
        <v>1170</v>
      </c>
      <c r="C300" s="3">
        <v>-4.8800000000000003E-2</v>
      </c>
      <c r="D300" s="5">
        <v>1154.77</v>
      </c>
      <c r="E300" s="6">
        <f t="shared" si="19"/>
        <v>1.2965026008999958E-2</v>
      </c>
      <c r="F300" s="7">
        <v>7.1099999999999997E-2</v>
      </c>
      <c r="G300" s="7">
        <f t="shared" si="16"/>
        <v>1.3217604060982158E-3</v>
      </c>
      <c r="H300" s="9">
        <f t="shared" si="17"/>
        <v>-5.0121760406098219E-2</v>
      </c>
      <c r="I300" s="11">
        <f t="shared" si="18"/>
        <v>1.1643265602901742E-2</v>
      </c>
    </row>
    <row r="301" spans="1:9" x14ac:dyDescent="0.3">
      <c r="A301" s="1">
        <v>42365</v>
      </c>
      <c r="B301" s="5">
        <v>1110</v>
      </c>
      <c r="C301" s="3">
        <v>-5.1299999999999998E-2</v>
      </c>
      <c r="D301" s="5">
        <v>1153.71</v>
      </c>
      <c r="E301" s="6">
        <f t="shared" si="19"/>
        <v>-9.1793170934462154E-4</v>
      </c>
      <c r="F301" s="7">
        <v>7.2499999999999995E-2</v>
      </c>
      <c r="G301" s="7">
        <f t="shared" si="16"/>
        <v>1.3469134245813752E-3</v>
      </c>
      <c r="H301" s="9">
        <f t="shared" si="17"/>
        <v>-5.2646913424581374E-2</v>
      </c>
      <c r="I301" s="11">
        <f t="shared" si="18"/>
        <v>-2.2648451339259967E-3</v>
      </c>
    </row>
    <row r="302" spans="1:9" x14ac:dyDescent="0.3">
      <c r="A302" s="1">
        <v>42372</v>
      </c>
      <c r="B302" s="5">
        <v>1015</v>
      </c>
      <c r="C302" s="3">
        <v>-8.5599999999999996E-2</v>
      </c>
      <c r="D302" s="5">
        <v>1098.32</v>
      </c>
      <c r="E302" s="6">
        <f t="shared" si="19"/>
        <v>-4.801033188582926E-2</v>
      </c>
      <c r="F302" s="7">
        <v>7.0000000000000007E-2</v>
      </c>
      <c r="G302" s="7">
        <f t="shared" si="16"/>
        <v>1.3019746893534467E-3</v>
      </c>
      <c r="H302" s="9">
        <f t="shared" si="17"/>
        <v>-8.6901974689353442E-2</v>
      </c>
      <c r="I302" s="11">
        <f t="shared" si="18"/>
        <v>-4.9312306575182707E-2</v>
      </c>
    </row>
    <row r="303" spans="1:9" x14ac:dyDescent="0.3">
      <c r="A303" s="1">
        <v>42379</v>
      </c>
      <c r="B303" s="4">
        <v>978</v>
      </c>
      <c r="C303" s="3">
        <v>-3.6499999999999998E-2</v>
      </c>
      <c r="D303" s="5">
        <v>1103.26</v>
      </c>
      <c r="E303" s="6">
        <f t="shared" si="19"/>
        <v>4.497778425231358E-3</v>
      </c>
      <c r="F303" s="7">
        <v>7.3099999999999998E-2</v>
      </c>
      <c r="G303" s="7">
        <f t="shared" si="16"/>
        <v>1.3576834332342802E-3</v>
      </c>
      <c r="H303" s="9">
        <f t="shared" si="17"/>
        <v>-3.7857683433234278E-2</v>
      </c>
      <c r="I303" s="11">
        <f t="shared" si="18"/>
        <v>3.1400949919970778E-3</v>
      </c>
    </row>
    <row r="304" spans="1:9" x14ac:dyDescent="0.3">
      <c r="A304" s="1">
        <v>42386</v>
      </c>
      <c r="B304" s="5">
        <v>1020</v>
      </c>
      <c r="C304" s="3">
        <v>4.2900000000000001E-2</v>
      </c>
      <c r="D304" s="5">
        <v>1151.6199999999999</v>
      </c>
      <c r="E304" s="6">
        <f t="shared" si="19"/>
        <v>4.3833729130032806E-2</v>
      </c>
      <c r="F304" s="7">
        <v>7.2900000000000006E-2</v>
      </c>
      <c r="G304" s="7">
        <f t="shared" si="16"/>
        <v>1.3540940867160511E-3</v>
      </c>
      <c r="H304" s="9">
        <f t="shared" si="17"/>
        <v>4.1545905913283949E-2</v>
      </c>
      <c r="I304" s="11">
        <f t="shared" si="18"/>
        <v>4.2479635043316755E-2</v>
      </c>
    </row>
    <row r="305" spans="1:9" x14ac:dyDescent="0.3">
      <c r="A305" s="1">
        <v>42393</v>
      </c>
      <c r="B305" s="5">
        <v>1030</v>
      </c>
      <c r="C305" s="3">
        <v>9.7999999999999997E-3</v>
      </c>
      <c r="D305" s="5">
        <v>1175.0899999999999</v>
      </c>
      <c r="E305" s="6">
        <f t="shared" si="19"/>
        <v>2.0379986453864962E-2</v>
      </c>
      <c r="F305" s="7">
        <v>7.2900000000000006E-2</v>
      </c>
      <c r="G305" s="7">
        <f t="shared" si="16"/>
        <v>1.3540940867160511E-3</v>
      </c>
      <c r="H305" s="9">
        <f t="shared" si="17"/>
        <v>8.4459059132839485E-3</v>
      </c>
      <c r="I305" s="11">
        <f t="shared" si="18"/>
        <v>1.9025892367148911E-2</v>
      </c>
    </row>
    <row r="306" spans="1:9" x14ac:dyDescent="0.3">
      <c r="A306" s="1">
        <v>42400</v>
      </c>
      <c r="B306" s="5">
        <v>1045</v>
      </c>
      <c r="C306" s="3">
        <v>1.46E-2</v>
      </c>
      <c r="D306" s="5">
        <v>1195.1099999999999</v>
      </c>
      <c r="E306" s="6">
        <f t="shared" si="19"/>
        <v>1.7036992911181326E-2</v>
      </c>
      <c r="F306" s="7">
        <v>7.1300000000000002E-2</v>
      </c>
      <c r="G306" s="7">
        <f t="shared" si="16"/>
        <v>1.3253556679215794E-3</v>
      </c>
      <c r="H306" s="9">
        <f t="shared" si="17"/>
        <v>1.3274644332078421E-2</v>
      </c>
      <c r="I306" s="11">
        <f t="shared" si="18"/>
        <v>1.5711637243259746E-2</v>
      </c>
    </row>
    <row r="307" spans="1:9" x14ac:dyDescent="0.3">
      <c r="A307" s="1">
        <v>42407</v>
      </c>
      <c r="B307" s="5">
        <v>1065</v>
      </c>
      <c r="C307" s="3">
        <v>1.9099999999999999E-2</v>
      </c>
      <c r="D307" s="5">
        <v>1209.03</v>
      </c>
      <c r="E307" s="6">
        <f t="shared" si="19"/>
        <v>1.1647463413409609E-2</v>
      </c>
      <c r="F307" s="7">
        <v>7.0599999999999996E-2</v>
      </c>
      <c r="G307" s="7">
        <f t="shared" si="16"/>
        <v>1.3127693701933119E-3</v>
      </c>
      <c r="H307" s="9">
        <f t="shared" si="17"/>
        <v>1.7787230629806687E-2</v>
      </c>
      <c r="I307" s="11">
        <f t="shared" si="18"/>
        <v>1.0334694043216297E-2</v>
      </c>
    </row>
    <row r="308" spans="1:9" x14ac:dyDescent="0.3">
      <c r="A308" s="1">
        <v>42414</v>
      </c>
      <c r="B308" s="5">
        <v>1130</v>
      </c>
      <c r="C308" s="3">
        <v>6.0999999999999999E-2</v>
      </c>
      <c r="D308" s="5">
        <v>1234.93</v>
      </c>
      <c r="E308" s="6">
        <f t="shared" si="19"/>
        <v>2.1422131791601684E-2</v>
      </c>
      <c r="F308" s="7">
        <v>6.9900000000000004E-2</v>
      </c>
      <c r="G308" s="7">
        <f t="shared" si="16"/>
        <v>1.3001749987218147E-3</v>
      </c>
      <c r="H308" s="9">
        <f t="shared" si="17"/>
        <v>5.9699825001278184E-2</v>
      </c>
      <c r="I308" s="11">
        <f t="shared" si="18"/>
        <v>2.0121956792879869E-2</v>
      </c>
    </row>
    <row r="309" spans="1:9" x14ac:dyDescent="0.3">
      <c r="A309" s="1">
        <v>42421</v>
      </c>
      <c r="B309" s="5">
        <v>1160</v>
      </c>
      <c r="C309" s="3">
        <v>2.6499999999999999E-2</v>
      </c>
      <c r="D309" s="5">
        <v>1246.68</v>
      </c>
      <c r="E309" s="6">
        <f t="shared" si="19"/>
        <v>9.5147093357517143E-3</v>
      </c>
      <c r="F309" s="7">
        <v>6.8000000000000005E-2</v>
      </c>
      <c r="G309" s="7">
        <f t="shared" si="16"/>
        <v>1.2659494949212036E-3</v>
      </c>
      <c r="H309" s="9">
        <f t="shared" si="17"/>
        <v>2.5234050505078796E-2</v>
      </c>
      <c r="I309" s="11">
        <f t="shared" si="18"/>
        <v>8.2487598408305107E-3</v>
      </c>
    </row>
    <row r="310" spans="1:9" x14ac:dyDescent="0.3">
      <c r="A310" s="1">
        <v>42428</v>
      </c>
      <c r="B310" s="5">
        <v>1365</v>
      </c>
      <c r="C310" s="3">
        <v>0.1767</v>
      </c>
      <c r="D310" s="5">
        <v>1294.8599999999999</v>
      </c>
      <c r="E310" s="6">
        <f t="shared" si="19"/>
        <v>3.8646645490422404E-2</v>
      </c>
      <c r="F310" s="7">
        <v>6.8699999999999997E-2</v>
      </c>
      <c r="G310" s="7">
        <f t="shared" si="16"/>
        <v>1.2785658336575967E-3</v>
      </c>
      <c r="H310" s="9">
        <f t="shared" si="17"/>
        <v>0.1754214341663424</v>
      </c>
      <c r="I310" s="11">
        <f t="shared" si="18"/>
        <v>3.7368079656764808E-2</v>
      </c>
    </row>
    <row r="311" spans="1:9" x14ac:dyDescent="0.3">
      <c r="A311" s="1">
        <v>42435</v>
      </c>
      <c r="B311" s="5">
        <v>1360</v>
      </c>
      <c r="C311" s="3">
        <v>-3.7000000000000002E-3</v>
      </c>
      <c r="D311" s="5">
        <v>1302.71</v>
      </c>
      <c r="E311" s="6">
        <f t="shared" si="19"/>
        <v>6.062431459771922E-3</v>
      </c>
      <c r="F311" s="7">
        <v>6.7099999999999993E-2</v>
      </c>
      <c r="G311" s="7">
        <f t="shared" si="16"/>
        <v>1.2497165657650022E-3</v>
      </c>
      <c r="H311" s="9">
        <f t="shared" si="17"/>
        <v>-4.9497165657650024E-3</v>
      </c>
      <c r="I311" s="11">
        <f t="shared" si="18"/>
        <v>4.8127148940069198E-3</v>
      </c>
    </row>
    <row r="312" spans="1:9" x14ac:dyDescent="0.3">
      <c r="A312" s="1">
        <v>42442</v>
      </c>
      <c r="B312" s="5">
        <v>1325</v>
      </c>
      <c r="C312" s="3">
        <v>-2.5700000000000001E-2</v>
      </c>
      <c r="D312" s="5">
        <v>1309.81</v>
      </c>
      <c r="E312" s="6">
        <f t="shared" si="19"/>
        <v>5.4501769388428656E-3</v>
      </c>
      <c r="F312" s="7">
        <v>6.6799999999999998E-2</v>
      </c>
      <c r="G312" s="7">
        <f t="shared" si="16"/>
        <v>1.2443026053232664E-3</v>
      </c>
      <c r="H312" s="9">
        <f t="shared" si="17"/>
        <v>-2.6944302605323267E-2</v>
      </c>
      <c r="I312" s="11">
        <f t="shared" si="18"/>
        <v>4.2058743335195992E-3</v>
      </c>
    </row>
    <row r="313" spans="1:9" x14ac:dyDescent="0.3">
      <c r="A313" s="1">
        <v>42449</v>
      </c>
      <c r="B313" s="5">
        <v>1340</v>
      </c>
      <c r="C313" s="3">
        <v>1.1299999999999999E-2</v>
      </c>
      <c r="D313" s="5">
        <v>1321.05</v>
      </c>
      <c r="E313" s="6">
        <f t="shared" si="19"/>
        <v>8.5813973018986633E-3</v>
      </c>
      <c r="F313" s="7">
        <v>6.8010000000000001E-2</v>
      </c>
      <c r="G313" s="7">
        <f t="shared" si="16"/>
        <v>1.2661297854268394E-3</v>
      </c>
      <c r="H313" s="9">
        <f t="shared" si="17"/>
        <v>1.003387021457316E-2</v>
      </c>
      <c r="I313" s="11">
        <f t="shared" si="18"/>
        <v>7.3152675164718239E-3</v>
      </c>
    </row>
    <row r="314" spans="1:9" x14ac:dyDescent="0.3">
      <c r="A314" s="1">
        <v>42456</v>
      </c>
      <c r="B314" s="5">
        <v>1300</v>
      </c>
      <c r="C314" s="3">
        <v>-2.9899999999999999E-2</v>
      </c>
      <c r="D314" s="5">
        <v>1333.63</v>
      </c>
      <c r="E314" s="6">
        <f t="shared" si="19"/>
        <v>9.5227281329246516E-3</v>
      </c>
      <c r="F314" s="7">
        <v>6.7290000000000003E-2</v>
      </c>
      <c r="G314" s="7">
        <f t="shared" si="16"/>
        <v>1.2531446353289954E-3</v>
      </c>
      <c r="H314" s="9">
        <f t="shared" si="17"/>
        <v>-3.1153144635328995E-2</v>
      </c>
      <c r="I314" s="11">
        <f t="shared" si="18"/>
        <v>8.2695834975956561E-3</v>
      </c>
    </row>
    <row r="315" spans="1:9" x14ac:dyDescent="0.3">
      <c r="A315" s="1">
        <v>42463</v>
      </c>
      <c r="B315" s="5">
        <v>1280</v>
      </c>
      <c r="C315" s="3">
        <v>-1.54E-2</v>
      </c>
      <c r="D315" s="5">
        <v>1326.57</v>
      </c>
      <c r="E315" s="6">
        <f t="shared" si="19"/>
        <v>-5.2938221245774075E-3</v>
      </c>
      <c r="F315" s="7">
        <v>6.8099999999999994E-2</v>
      </c>
      <c r="G315" s="7">
        <f t="shared" si="16"/>
        <v>1.2677523254780443E-3</v>
      </c>
      <c r="H315" s="9">
        <f t="shared" si="17"/>
        <v>-1.6667752325478045E-2</v>
      </c>
      <c r="I315" s="11">
        <f t="shared" si="18"/>
        <v>-6.5615744500554518E-3</v>
      </c>
    </row>
    <row r="316" spans="1:9" x14ac:dyDescent="0.3">
      <c r="A316" s="1">
        <v>42470</v>
      </c>
      <c r="B316" s="5">
        <v>1350</v>
      </c>
      <c r="C316" s="3">
        <v>5.4699999999999999E-2</v>
      </c>
      <c r="D316" s="5">
        <v>1355.2</v>
      </c>
      <c r="E316" s="6">
        <f t="shared" si="19"/>
        <v>2.1581974565985984E-2</v>
      </c>
      <c r="F316" s="7">
        <v>6.8699999999999997E-2</v>
      </c>
      <c r="G316" s="7">
        <f t="shared" si="16"/>
        <v>1.2785658336575967E-3</v>
      </c>
      <c r="H316" s="9">
        <f t="shared" si="17"/>
        <v>5.3421434166342402E-2</v>
      </c>
      <c r="I316" s="11">
        <f t="shared" si="18"/>
        <v>2.0303408732328387E-2</v>
      </c>
    </row>
    <row r="317" spans="1:9" x14ac:dyDescent="0.3">
      <c r="A317" s="1">
        <v>42477</v>
      </c>
      <c r="B317" s="5">
        <v>1435</v>
      </c>
      <c r="C317" s="3">
        <v>6.3E-2</v>
      </c>
      <c r="D317" s="5">
        <v>1374.41</v>
      </c>
      <c r="E317" s="6">
        <f t="shared" si="19"/>
        <v>1.4175029515938631E-2</v>
      </c>
      <c r="F317" s="7">
        <v>6.8830000000000002E-2</v>
      </c>
      <c r="G317" s="7">
        <f t="shared" si="16"/>
        <v>1.2809079756115338E-3</v>
      </c>
      <c r="H317" s="9">
        <f t="shared" si="17"/>
        <v>6.1719092024388467E-2</v>
      </c>
      <c r="I317" s="11">
        <f t="shared" si="18"/>
        <v>1.2894121540327097E-2</v>
      </c>
    </row>
    <row r="318" spans="1:9" x14ac:dyDescent="0.3">
      <c r="A318" s="1">
        <v>42484</v>
      </c>
      <c r="B318" s="5">
        <v>1415</v>
      </c>
      <c r="C318" s="3">
        <v>-1.3899999999999999E-2</v>
      </c>
      <c r="D318" s="5">
        <v>1342.42</v>
      </c>
      <c r="E318" s="6">
        <f t="shared" si="19"/>
        <v>-2.3275441825947096E-2</v>
      </c>
      <c r="F318" s="7">
        <v>7.3300000000000004E-2</v>
      </c>
      <c r="G318" s="7">
        <f t="shared" si="16"/>
        <v>1.3612721237095116E-3</v>
      </c>
      <c r="H318" s="9">
        <f t="shared" si="17"/>
        <v>-1.5261272123709511E-2</v>
      </c>
      <c r="I318" s="11">
        <f t="shared" si="18"/>
        <v>-2.4636713949656608E-2</v>
      </c>
    </row>
    <row r="319" spans="1:9" x14ac:dyDescent="0.3">
      <c r="A319" s="1">
        <v>42491</v>
      </c>
      <c r="B319" s="5">
        <v>1395</v>
      </c>
      <c r="C319" s="3">
        <v>-1.41E-2</v>
      </c>
      <c r="D319" s="5">
        <v>1293.03</v>
      </c>
      <c r="E319" s="6">
        <f t="shared" si="19"/>
        <v>-3.6791764127471316E-2</v>
      </c>
      <c r="F319" s="7">
        <v>7.2999999999999995E-2</v>
      </c>
      <c r="G319" s="7">
        <f t="shared" si="16"/>
        <v>1.3558888419957782E-3</v>
      </c>
      <c r="H319" s="9">
        <f t="shared" si="17"/>
        <v>-1.5455888841995778E-2</v>
      </c>
      <c r="I319" s="11">
        <f t="shared" si="18"/>
        <v>-3.8147652969467094E-2</v>
      </c>
    </row>
    <row r="320" spans="1:9" x14ac:dyDescent="0.3">
      <c r="A320" s="1">
        <v>42498</v>
      </c>
      <c r="B320" s="5">
        <v>1405</v>
      </c>
      <c r="C320" s="3">
        <v>7.1999999999999998E-3</v>
      </c>
      <c r="D320" s="5">
        <v>1350.36</v>
      </c>
      <c r="E320" s="6">
        <f t="shared" si="19"/>
        <v>4.4337718382404079E-2</v>
      </c>
      <c r="F320" s="7">
        <v>7.0580000000000004E-2</v>
      </c>
      <c r="G320" s="7">
        <f t="shared" si="16"/>
        <v>1.3124096431018639E-3</v>
      </c>
      <c r="H320" s="9">
        <f t="shared" si="17"/>
        <v>5.8875903568981359E-3</v>
      </c>
      <c r="I320" s="11">
        <f t="shared" si="18"/>
        <v>4.3025308739302215E-2</v>
      </c>
    </row>
    <row r="321" spans="1:9" x14ac:dyDescent="0.3">
      <c r="A321" s="1">
        <v>42505</v>
      </c>
      <c r="B321" s="5">
        <v>1400</v>
      </c>
      <c r="C321" s="3">
        <v>-3.5999999999999999E-3</v>
      </c>
      <c r="D321" s="5">
        <v>1322.44</v>
      </c>
      <c r="E321" s="6">
        <f t="shared" si="19"/>
        <v>-2.0675967890044E-2</v>
      </c>
      <c r="F321" s="7">
        <v>6.9599999999999995E-2</v>
      </c>
      <c r="G321" s="7">
        <f t="shared" si="16"/>
        <v>1.2947749368010797E-3</v>
      </c>
      <c r="H321" s="9">
        <f t="shared" si="17"/>
        <v>-4.8947749368010796E-3</v>
      </c>
      <c r="I321" s="11">
        <f t="shared" si="18"/>
        <v>-2.197074282684508E-2</v>
      </c>
    </row>
    <row r="322" spans="1:9" x14ac:dyDescent="0.3">
      <c r="A322" s="1">
        <v>42512</v>
      </c>
      <c r="B322" s="5">
        <v>1395</v>
      </c>
      <c r="C322" s="3">
        <v>-3.5999999999999999E-3</v>
      </c>
      <c r="D322" s="5">
        <v>1302.3599999999999</v>
      </c>
      <c r="E322" s="6">
        <f t="shared" si="19"/>
        <v>-1.5184053718883428E-2</v>
      </c>
      <c r="F322" s="7">
        <v>6.9800000000000001E-2</v>
      </c>
      <c r="G322" s="7">
        <f t="shared" si="16"/>
        <v>1.2983751431061563E-3</v>
      </c>
      <c r="H322" s="9">
        <f t="shared" si="17"/>
        <v>-4.8983751431061562E-3</v>
      </c>
      <c r="I322" s="11">
        <f t="shared" si="18"/>
        <v>-1.6482428861989584E-2</v>
      </c>
    </row>
    <row r="323" spans="1:9" x14ac:dyDescent="0.3">
      <c r="A323" s="1">
        <v>42519</v>
      </c>
      <c r="B323" s="5">
        <v>1370</v>
      </c>
      <c r="C323" s="3">
        <v>-1.7899999999999999E-2</v>
      </c>
      <c r="D323" s="5">
        <v>1307.83</v>
      </c>
      <c r="E323" s="6">
        <f t="shared" si="19"/>
        <v>4.2000675696427514E-3</v>
      </c>
      <c r="F323" s="7">
        <v>7.0000000000000007E-2</v>
      </c>
      <c r="G323" s="7">
        <f t="shared" ref="G323:G386" si="20">(1+F323)^(1/52)-1</f>
        <v>1.3019746893534467E-3</v>
      </c>
      <c r="H323" s="9">
        <f t="shared" ref="H323:H386" si="21">C323-G323</f>
        <v>-1.9201974689353446E-2</v>
      </c>
      <c r="I323" s="11">
        <f t="shared" ref="I323:I386" si="22">E323-G323</f>
        <v>2.8980928802893047E-3</v>
      </c>
    </row>
    <row r="324" spans="1:9" x14ac:dyDescent="0.3">
      <c r="A324" s="1">
        <v>42526</v>
      </c>
      <c r="B324" s="5">
        <v>1410</v>
      </c>
      <c r="C324" s="3">
        <v>2.92E-2</v>
      </c>
      <c r="D324" s="5">
        <v>1320.48</v>
      </c>
      <c r="E324" s="6">
        <f t="shared" ref="E324:E387" si="23">D324/D323-1</f>
        <v>9.6725109532584952E-3</v>
      </c>
      <c r="F324" s="7">
        <v>6.6729999999999998E-2</v>
      </c>
      <c r="G324" s="7">
        <f t="shared" si="20"/>
        <v>1.2430391330318091E-3</v>
      </c>
      <c r="H324" s="9">
        <f t="shared" si="21"/>
        <v>2.7956960866968191E-2</v>
      </c>
      <c r="I324" s="11">
        <f t="shared" si="22"/>
        <v>8.4294718202266861E-3</v>
      </c>
    </row>
    <row r="325" spans="1:9" x14ac:dyDescent="0.3">
      <c r="A325" s="1">
        <v>42533</v>
      </c>
      <c r="B325" s="5">
        <v>1415</v>
      </c>
      <c r="C325" s="3">
        <v>3.5000000000000001E-3</v>
      </c>
      <c r="D325" s="5">
        <v>1308.4100000000001</v>
      </c>
      <c r="E325" s="6">
        <f t="shared" si="23"/>
        <v>-9.1406155337452333E-3</v>
      </c>
      <c r="F325" s="7">
        <v>6.6900000000000001E-2</v>
      </c>
      <c r="G325" s="7">
        <f t="shared" si="20"/>
        <v>1.2461074246976622E-3</v>
      </c>
      <c r="H325" s="9">
        <f t="shared" si="21"/>
        <v>2.2538925753023378E-3</v>
      </c>
      <c r="I325" s="11">
        <f t="shared" si="22"/>
        <v>-1.0386722958442896E-2</v>
      </c>
    </row>
    <row r="326" spans="1:9" x14ac:dyDescent="0.3">
      <c r="A326" s="1">
        <v>42540</v>
      </c>
      <c r="B326" s="5">
        <v>1400</v>
      </c>
      <c r="C326" s="3">
        <v>-1.06E-2</v>
      </c>
      <c r="D326" s="5">
        <v>1317.71</v>
      </c>
      <c r="E326" s="6">
        <f t="shared" si="23"/>
        <v>7.1078637430161962E-3</v>
      </c>
      <c r="F326" s="7">
        <v>6.3299999999999995E-2</v>
      </c>
      <c r="G326" s="7">
        <f t="shared" si="20"/>
        <v>1.1810291677623042E-3</v>
      </c>
      <c r="H326" s="9">
        <f t="shared" si="21"/>
        <v>-1.1781029167762304E-2</v>
      </c>
      <c r="I326" s="11">
        <f t="shared" si="22"/>
        <v>5.926834575253892E-3</v>
      </c>
    </row>
    <row r="327" spans="1:9" x14ac:dyDescent="0.3">
      <c r="A327" s="1">
        <v>42547</v>
      </c>
      <c r="B327" s="5">
        <v>1405</v>
      </c>
      <c r="C327" s="3">
        <v>3.5999999999999999E-3</v>
      </c>
      <c r="D327" s="5">
        <v>1312.98</v>
      </c>
      <c r="E327" s="6">
        <f t="shared" si="23"/>
        <v>-3.5895606772354816E-3</v>
      </c>
      <c r="F327" s="7">
        <v>6.4899999999999999E-2</v>
      </c>
      <c r="G327" s="7">
        <f t="shared" si="20"/>
        <v>1.2099794744246939E-3</v>
      </c>
      <c r="H327" s="9">
        <f t="shared" si="21"/>
        <v>2.390020525575306E-3</v>
      </c>
      <c r="I327" s="11">
        <f t="shared" si="22"/>
        <v>-4.7995401516601754E-3</v>
      </c>
    </row>
    <row r="328" spans="1:9" x14ac:dyDescent="0.3">
      <c r="A328" s="1">
        <v>42554</v>
      </c>
      <c r="B328" s="5">
        <v>1350</v>
      </c>
      <c r="C328" s="3">
        <v>-3.9100000000000003E-2</v>
      </c>
      <c r="D328" s="5">
        <v>1297.6400000000001</v>
      </c>
      <c r="E328" s="6">
        <f t="shared" si="23"/>
        <v>-1.1683346280979112E-2</v>
      </c>
      <c r="F328" s="7">
        <v>6.5700000000000008E-2</v>
      </c>
      <c r="G328" s="7">
        <f t="shared" si="20"/>
        <v>1.224438633723901E-3</v>
      </c>
      <c r="H328" s="9">
        <f t="shared" si="21"/>
        <v>-4.0324438633723904E-2</v>
      </c>
      <c r="I328" s="11">
        <f t="shared" si="22"/>
        <v>-1.2907784914703013E-2</v>
      </c>
    </row>
    <row r="329" spans="1:9" x14ac:dyDescent="0.3">
      <c r="A329" s="1">
        <v>42561</v>
      </c>
      <c r="B329" s="5">
        <v>1400</v>
      </c>
      <c r="C329" s="3">
        <v>3.6999999999999998E-2</v>
      </c>
      <c r="D329" s="5">
        <v>1339.6</v>
      </c>
      <c r="E329" s="6">
        <f t="shared" si="23"/>
        <v>3.2335624672482188E-2</v>
      </c>
      <c r="F329" s="7">
        <v>6.3799999999999996E-2</v>
      </c>
      <c r="G329" s="7">
        <f t="shared" si="20"/>
        <v>1.1900807256199908E-3</v>
      </c>
      <c r="H329" s="9">
        <f t="shared" si="21"/>
        <v>3.5809919274380007E-2</v>
      </c>
      <c r="I329" s="11">
        <f t="shared" si="22"/>
        <v>3.1145543946862198E-2</v>
      </c>
    </row>
    <row r="330" spans="1:9" x14ac:dyDescent="0.3">
      <c r="A330" s="1">
        <v>42568</v>
      </c>
      <c r="B330" s="5">
        <v>1360</v>
      </c>
      <c r="C330" s="3">
        <v>-2.86E-2</v>
      </c>
      <c r="D330" s="5">
        <v>1332.85</v>
      </c>
      <c r="E330" s="6">
        <f t="shared" si="23"/>
        <v>-5.0388175574798133E-3</v>
      </c>
      <c r="F330" s="7">
        <v>6.480000000000001E-2</v>
      </c>
      <c r="G330" s="7">
        <f t="shared" si="20"/>
        <v>1.2081713304894492E-3</v>
      </c>
      <c r="H330" s="9">
        <f t="shared" si="21"/>
        <v>-2.980817133048945E-2</v>
      </c>
      <c r="I330" s="11">
        <f t="shared" si="22"/>
        <v>-6.2469888879692625E-3</v>
      </c>
    </row>
    <row r="331" spans="1:9" x14ac:dyDescent="0.3">
      <c r="A331" s="1">
        <v>42575</v>
      </c>
      <c r="B331" s="5">
        <v>1300</v>
      </c>
      <c r="C331" s="3">
        <v>-4.41E-2</v>
      </c>
      <c r="D331" s="5">
        <v>1308.22</v>
      </c>
      <c r="E331" s="6">
        <f t="shared" si="23"/>
        <v>-1.8479198709532074E-2</v>
      </c>
      <c r="F331" s="7">
        <v>6.4699999999999994E-2</v>
      </c>
      <c r="G331" s="7">
        <f t="shared" si="20"/>
        <v>1.206363020001433E-3</v>
      </c>
      <c r="H331" s="9">
        <f t="shared" si="21"/>
        <v>-4.5306363020001433E-2</v>
      </c>
      <c r="I331" s="11">
        <f t="shared" si="22"/>
        <v>-1.9685561729533507E-2</v>
      </c>
    </row>
    <row r="332" spans="1:9" x14ac:dyDescent="0.3">
      <c r="A332" s="1">
        <v>42582</v>
      </c>
      <c r="B332" s="5">
        <v>1230</v>
      </c>
      <c r="C332" s="3">
        <v>-5.3800000000000001E-2</v>
      </c>
      <c r="D332" s="5">
        <v>1309.48</v>
      </c>
      <c r="E332" s="6">
        <f t="shared" si="23"/>
        <v>9.6314075614190031E-4</v>
      </c>
      <c r="F332" s="7">
        <v>6.6799999999999998E-2</v>
      </c>
      <c r="G332" s="7">
        <f t="shared" si="20"/>
        <v>1.2443026053232664E-3</v>
      </c>
      <c r="H332" s="9">
        <f t="shared" si="21"/>
        <v>-5.5044302605323267E-2</v>
      </c>
      <c r="I332" s="11">
        <f t="shared" si="22"/>
        <v>-2.8116184918136611E-4</v>
      </c>
    </row>
    <row r="333" spans="1:9" x14ac:dyDescent="0.3">
      <c r="A333" s="1">
        <v>42589</v>
      </c>
      <c r="B333" s="5">
        <v>1220</v>
      </c>
      <c r="C333" s="3">
        <v>-8.0999999999999996E-3</v>
      </c>
      <c r="D333" s="5">
        <v>1323.66</v>
      </c>
      <c r="E333" s="6">
        <f t="shared" si="23"/>
        <v>1.0828725906466774E-2</v>
      </c>
      <c r="F333" s="7">
        <v>6.54E-2</v>
      </c>
      <c r="G333" s="7">
        <f t="shared" si="20"/>
        <v>1.2190176968940314E-3</v>
      </c>
      <c r="H333" s="9">
        <f t="shared" si="21"/>
        <v>-9.3190176968940309E-3</v>
      </c>
      <c r="I333" s="11">
        <f t="shared" si="22"/>
        <v>9.6097082095727426E-3</v>
      </c>
    </row>
    <row r="334" spans="1:9" x14ac:dyDescent="0.3">
      <c r="A334" s="1">
        <v>42596</v>
      </c>
      <c r="B334" s="5">
        <v>1320</v>
      </c>
      <c r="C334" s="3">
        <v>8.2000000000000003E-2</v>
      </c>
      <c r="D334" s="5">
        <v>1349.79</v>
      </c>
      <c r="E334" s="6">
        <f t="shared" si="23"/>
        <v>1.9740718915733479E-2</v>
      </c>
      <c r="F334" s="7">
        <v>6.6100000000000006E-2</v>
      </c>
      <c r="G334" s="7">
        <f t="shared" si="20"/>
        <v>1.2316642218015428E-3</v>
      </c>
      <c r="H334" s="9">
        <f t="shared" si="21"/>
        <v>8.0768335778198461E-2</v>
      </c>
      <c r="I334" s="11">
        <f t="shared" si="22"/>
        <v>1.8509054693931937E-2</v>
      </c>
    </row>
    <row r="335" spans="1:9" x14ac:dyDescent="0.3">
      <c r="A335" s="1">
        <v>42603</v>
      </c>
      <c r="B335" s="5">
        <v>1320</v>
      </c>
      <c r="C335" s="3">
        <v>0</v>
      </c>
      <c r="D335" s="5">
        <v>1373.42</v>
      </c>
      <c r="E335" s="6">
        <f t="shared" si="23"/>
        <v>1.7506426925669949E-2</v>
      </c>
      <c r="F335" s="7">
        <v>6.6900000000000001E-2</v>
      </c>
      <c r="G335" s="7">
        <f t="shared" si="20"/>
        <v>1.2461074246976622E-3</v>
      </c>
      <c r="H335" s="9">
        <f t="shared" si="21"/>
        <v>-1.2461074246976622E-3</v>
      </c>
      <c r="I335" s="11">
        <f t="shared" si="22"/>
        <v>1.6260319500972287E-2</v>
      </c>
    </row>
    <row r="336" spans="1:9" x14ac:dyDescent="0.3">
      <c r="A336" s="1">
        <v>42610</v>
      </c>
      <c r="B336" s="5">
        <v>1320</v>
      </c>
      <c r="C336" s="3">
        <v>0</v>
      </c>
      <c r="D336" s="5">
        <v>1394.38</v>
      </c>
      <c r="E336" s="6">
        <f t="shared" si="23"/>
        <v>1.5261172838607395E-2</v>
      </c>
      <c r="F336" s="7">
        <v>6.4149999999999999E-2</v>
      </c>
      <c r="G336" s="7">
        <f t="shared" si="20"/>
        <v>1.1964143338016875E-3</v>
      </c>
      <c r="H336" s="9">
        <f t="shared" si="21"/>
        <v>-1.1964143338016875E-3</v>
      </c>
      <c r="I336" s="11">
        <f t="shared" si="22"/>
        <v>1.4064758504805708E-2</v>
      </c>
    </row>
    <row r="337" spans="1:9" x14ac:dyDescent="0.3">
      <c r="A337" s="1">
        <v>42617</v>
      </c>
      <c r="B337" s="5">
        <v>1360</v>
      </c>
      <c r="C337" s="3">
        <v>3.0300000000000001E-2</v>
      </c>
      <c r="D337" s="5">
        <v>1397.9</v>
      </c>
      <c r="E337" s="6">
        <f t="shared" si="23"/>
        <v>2.5244194552418442E-3</v>
      </c>
      <c r="F337" s="7">
        <v>6.2950000000000006E-2</v>
      </c>
      <c r="G337" s="7">
        <f t="shared" si="20"/>
        <v>1.174690593093608E-3</v>
      </c>
      <c r="H337" s="9">
        <f t="shared" si="21"/>
        <v>2.9125309406906393E-2</v>
      </c>
      <c r="I337" s="11">
        <f t="shared" si="22"/>
        <v>1.3497288621482362E-3</v>
      </c>
    </row>
    <row r="338" spans="1:9" x14ac:dyDescent="0.3">
      <c r="A338" s="1">
        <v>42624</v>
      </c>
      <c r="B338" s="5">
        <v>1230</v>
      </c>
      <c r="C338" s="3">
        <v>-9.5600000000000004E-2</v>
      </c>
      <c r="D338" s="5">
        <v>1354.63</v>
      </c>
      <c r="E338" s="6">
        <f t="shared" si="23"/>
        <v>-3.0953573216968344E-2</v>
      </c>
      <c r="F338" s="7">
        <v>6.2300000000000001E-2</v>
      </c>
      <c r="G338" s="7">
        <f t="shared" si="20"/>
        <v>1.1629135217694486E-3</v>
      </c>
      <c r="H338" s="9">
        <f t="shared" si="21"/>
        <v>-9.6762913521769453E-2</v>
      </c>
      <c r="I338" s="11">
        <f t="shared" si="22"/>
        <v>-3.2116486738737793E-2</v>
      </c>
    </row>
    <row r="339" spans="1:9" x14ac:dyDescent="0.3">
      <c r="A339" s="1">
        <v>42631</v>
      </c>
      <c r="B339" s="5">
        <v>1215</v>
      </c>
      <c r="C339" s="3">
        <v>-1.2200000000000001E-2</v>
      </c>
      <c r="D339" s="5">
        <v>1351.6</v>
      </c>
      <c r="E339" s="6">
        <f t="shared" si="23"/>
        <v>-2.2367731410054548E-3</v>
      </c>
      <c r="F339" s="7">
        <v>6.1799999999999994E-2</v>
      </c>
      <c r="G339" s="7">
        <f t="shared" si="20"/>
        <v>1.153849425845177E-3</v>
      </c>
      <c r="H339" s="9">
        <f t="shared" si="21"/>
        <v>-1.3353849425845178E-2</v>
      </c>
      <c r="I339" s="11">
        <f t="shared" si="22"/>
        <v>-3.3906225668506318E-3</v>
      </c>
    </row>
    <row r="340" spans="1:9" x14ac:dyDescent="0.3">
      <c r="A340" s="1">
        <v>42638</v>
      </c>
      <c r="B340" s="5">
        <v>1250</v>
      </c>
      <c r="C340" s="3">
        <v>2.8799999999999999E-2</v>
      </c>
      <c r="D340" s="5">
        <v>1338.83</v>
      </c>
      <c r="E340" s="6">
        <f t="shared" si="23"/>
        <v>-9.4480615566735482E-3</v>
      </c>
      <c r="F340" s="7">
        <v>6.2199999999999998E-2</v>
      </c>
      <c r="G340" s="7">
        <f t="shared" si="20"/>
        <v>1.1611010373695496E-3</v>
      </c>
      <c r="H340" s="9">
        <f t="shared" si="21"/>
        <v>2.763889896263045E-2</v>
      </c>
      <c r="I340" s="11">
        <f t="shared" si="22"/>
        <v>-1.0609162594043098E-2</v>
      </c>
    </row>
    <row r="341" spans="1:9" x14ac:dyDescent="0.3">
      <c r="A341" s="1">
        <v>42645</v>
      </c>
      <c r="B341" s="5">
        <v>1315</v>
      </c>
      <c r="C341" s="3">
        <v>5.1999999999999998E-2</v>
      </c>
      <c r="D341" s="5">
        <v>1348.2</v>
      </c>
      <c r="E341" s="6">
        <f t="shared" si="23"/>
        <v>6.998648073317737E-3</v>
      </c>
      <c r="F341" s="7">
        <v>5.9900000000000002E-2</v>
      </c>
      <c r="G341" s="7">
        <f t="shared" si="20"/>
        <v>1.1193676412004638E-3</v>
      </c>
      <c r="H341" s="9">
        <f t="shared" si="21"/>
        <v>5.0880632358799534E-2</v>
      </c>
      <c r="I341" s="11">
        <f t="shared" si="22"/>
        <v>5.8792804321172731E-3</v>
      </c>
    </row>
    <row r="342" spans="1:9" x14ac:dyDescent="0.3">
      <c r="A342" s="1">
        <v>42652</v>
      </c>
      <c r="B342" s="5">
        <v>1315</v>
      </c>
      <c r="C342" s="3">
        <v>0</v>
      </c>
      <c r="D342" s="5">
        <v>1346.07</v>
      </c>
      <c r="E342" s="6">
        <f t="shared" si="23"/>
        <v>-1.579884290164757E-3</v>
      </c>
      <c r="F342" s="7">
        <v>5.8099999999999999E-2</v>
      </c>
      <c r="G342" s="7">
        <f t="shared" si="20"/>
        <v>1.0866447196344886E-3</v>
      </c>
      <c r="H342" s="9">
        <f t="shared" si="21"/>
        <v>-1.0866447196344886E-3</v>
      </c>
      <c r="I342" s="11">
        <f t="shared" si="22"/>
        <v>-2.6665290097992456E-3</v>
      </c>
    </row>
    <row r="343" spans="1:9" x14ac:dyDescent="0.3">
      <c r="A343" s="1">
        <v>42659</v>
      </c>
      <c r="B343" s="5">
        <v>1345</v>
      </c>
      <c r="C343" s="3">
        <v>2.2800000000000001E-2</v>
      </c>
      <c r="D343" s="5">
        <v>1362.97</v>
      </c>
      <c r="E343" s="6">
        <f t="shared" si="23"/>
        <v>1.2555067715646295E-2</v>
      </c>
      <c r="F343" s="7">
        <v>5.9000000000000004E-2</v>
      </c>
      <c r="G343" s="7">
        <f t="shared" si="20"/>
        <v>1.1030129991791426E-3</v>
      </c>
      <c r="H343" s="9">
        <f t="shared" si="21"/>
        <v>2.1696987000820858E-2</v>
      </c>
      <c r="I343" s="11">
        <f t="shared" si="22"/>
        <v>1.1452054716467153E-2</v>
      </c>
    </row>
    <row r="344" spans="1:9" x14ac:dyDescent="0.3">
      <c r="A344" s="1">
        <v>42666</v>
      </c>
      <c r="B344" s="5">
        <v>1315</v>
      </c>
      <c r="C344" s="3">
        <v>-2.23E-2</v>
      </c>
      <c r="D344" s="5">
        <v>1360.96</v>
      </c>
      <c r="E344" s="6">
        <f t="shared" si="23"/>
        <v>-1.474720646822747E-3</v>
      </c>
      <c r="F344" s="7">
        <v>0.06</v>
      </c>
      <c r="G344" s="7">
        <f t="shared" si="20"/>
        <v>1.1211839828213499E-3</v>
      </c>
      <c r="H344" s="9">
        <f t="shared" si="21"/>
        <v>-2.342118398282135E-2</v>
      </c>
      <c r="I344" s="11">
        <f t="shared" si="22"/>
        <v>-2.5959046296440969E-3</v>
      </c>
    </row>
    <row r="345" spans="1:9" x14ac:dyDescent="0.3">
      <c r="A345" s="1">
        <v>42673</v>
      </c>
      <c r="B345" s="5">
        <v>1300</v>
      </c>
      <c r="C345" s="3">
        <v>-1.14E-2</v>
      </c>
      <c r="D345" s="5">
        <v>1345.66</v>
      </c>
      <c r="E345" s="6">
        <f t="shared" si="23"/>
        <v>-1.1242064425111664E-2</v>
      </c>
      <c r="F345" s="7">
        <v>5.9000000000000004E-2</v>
      </c>
      <c r="G345" s="7">
        <f t="shared" si="20"/>
        <v>1.1030129991791426E-3</v>
      </c>
      <c r="H345" s="9">
        <f t="shared" si="21"/>
        <v>-1.2503012999179143E-2</v>
      </c>
      <c r="I345" s="11">
        <f t="shared" si="22"/>
        <v>-1.2345077424290807E-2</v>
      </c>
    </row>
    <row r="346" spans="1:9" x14ac:dyDescent="0.3">
      <c r="A346" s="1">
        <v>42680</v>
      </c>
      <c r="B346" s="5">
        <v>1270</v>
      </c>
      <c r="C346" s="3">
        <v>-2.3099999999999999E-2</v>
      </c>
      <c r="D346" s="5">
        <v>1299.03</v>
      </c>
      <c r="E346" s="6">
        <f t="shared" si="23"/>
        <v>-3.4652140956853983E-2</v>
      </c>
      <c r="F346" s="7">
        <v>5.8700000000000002E-2</v>
      </c>
      <c r="G346" s="7">
        <f t="shared" si="20"/>
        <v>1.0975584224117707E-3</v>
      </c>
      <c r="H346" s="9">
        <f t="shared" si="21"/>
        <v>-2.419755842241177E-2</v>
      </c>
      <c r="I346" s="11">
        <f t="shared" si="22"/>
        <v>-3.5749699379265754E-2</v>
      </c>
    </row>
    <row r="347" spans="1:9" x14ac:dyDescent="0.3">
      <c r="A347" s="1">
        <v>42687</v>
      </c>
      <c r="B347" s="5">
        <v>1280</v>
      </c>
      <c r="C347" s="3">
        <v>7.9000000000000008E-3</v>
      </c>
      <c r="D347" s="5">
        <v>1307.44</v>
      </c>
      <c r="E347" s="6">
        <f t="shared" si="23"/>
        <v>6.4740614150560205E-3</v>
      </c>
      <c r="F347" s="7">
        <v>5.6939999999999998E-2</v>
      </c>
      <c r="G347" s="7">
        <f t="shared" si="20"/>
        <v>1.0655276726321272E-3</v>
      </c>
      <c r="H347" s="9">
        <f t="shared" si="21"/>
        <v>6.8344723273678736E-3</v>
      </c>
      <c r="I347" s="11">
        <f t="shared" si="22"/>
        <v>5.4085337424238933E-3</v>
      </c>
    </row>
    <row r="348" spans="1:9" x14ac:dyDescent="0.3">
      <c r="A348" s="1">
        <v>42694</v>
      </c>
      <c r="B348" s="5">
        <v>1290</v>
      </c>
      <c r="C348" s="3">
        <v>7.7999999999999996E-3</v>
      </c>
      <c r="D348" s="5">
        <v>1295.67</v>
      </c>
      <c r="E348" s="6">
        <f t="shared" si="23"/>
        <v>-9.0023251545003902E-3</v>
      </c>
      <c r="F348" s="7">
        <v>5.8200000000000002E-2</v>
      </c>
      <c r="G348" s="7">
        <f t="shared" si="20"/>
        <v>1.0884640915338473E-3</v>
      </c>
      <c r="H348" s="9">
        <f t="shared" si="21"/>
        <v>6.7115359084661524E-3</v>
      </c>
      <c r="I348" s="11">
        <f t="shared" si="22"/>
        <v>-1.0090789246034237E-2</v>
      </c>
    </row>
    <row r="349" spans="1:9" x14ac:dyDescent="0.3">
      <c r="A349" s="1">
        <v>42701</v>
      </c>
      <c r="B349" s="5">
        <v>1320</v>
      </c>
      <c r="C349" s="3">
        <v>2.3300000000000001E-2</v>
      </c>
      <c r="D349" s="5">
        <v>1306.56</v>
      </c>
      <c r="E349" s="6">
        <f t="shared" si="23"/>
        <v>8.4049179189145118E-3</v>
      </c>
      <c r="F349" s="7">
        <v>5.9500000000000004E-2</v>
      </c>
      <c r="G349" s="7">
        <f t="shared" si="20"/>
        <v>1.112100593589016E-3</v>
      </c>
      <c r="H349" s="9">
        <f t="shared" si="21"/>
        <v>2.2187899406410985E-2</v>
      </c>
      <c r="I349" s="11">
        <f t="shared" si="22"/>
        <v>7.2928173253254958E-3</v>
      </c>
    </row>
    <row r="350" spans="1:9" x14ac:dyDescent="0.3">
      <c r="A350" s="1">
        <v>42708</v>
      </c>
      <c r="B350" s="5">
        <v>1320</v>
      </c>
      <c r="C350" s="3">
        <v>0</v>
      </c>
      <c r="D350" s="5">
        <v>1324.8</v>
      </c>
      <c r="E350" s="6">
        <f t="shared" si="23"/>
        <v>1.3960323291697385E-2</v>
      </c>
      <c r="F350" s="7">
        <v>5.8799999999999998E-2</v>
      </c>
      <c r="G350" s="7">
        <f t="shared" si="20"/>
        <v>1.0993767830844714E-3</v>
      </c>
      <c r="H350" s="9">
        <f t="shared" si="21"/>
        <v>-1.0993767830844714E-3</v>
      </c>
      <c r="I350" s="11">
        <f t="shared" si="22"/>
        <v>1.2860946508612914E-2</v>
      </c>
    </row>
    <row r="351" spans="1:9" x14ac:dyDescent="0.3">
      <c r="A351" s="1">
        <v>42715</v>
      </c>
      <c r="B351" s="5">
        <v>1380</v>
      </c>
      <c r="C351" s="3">
        <v>4.5499999999999999E-2</v>
      </c>
      <c r="D351" s="5">
        <v>1341.58</v>
      </c>
      <c r="E351" s="6">
        <f t="shared" si="23"/>
        <v>1.2666062801932387E-2</v>
      </c>
      <c r="F351" s="7">
        <v>5.8819999999999997E-2</v>
      </c>
      <c r="G351" s="7">
        <f t="shared" si="20"/>
        <v>1.0997404350068241E-3</v>
      </c>
      <c r="H351" s="9">
        <f t="shared" si="21"/>
        <v>4.4400259564993175E-2</v>
      </c>
      <c r="I351" s="11">
        <f t="shared" si="22"/>
        <v>1.1566322366925563E-2</v>
      </c>
    </row>
    <row r="352" spans="1:9" x14ac:dyDescent="0.3">
      <c r="A352" s="1">
        <v>42722</v>
      </c>
      <c r="B352" s="5">
        <v>1335</v>
      </c>
      <c r="C352" s="3">
        <v>-3.2599999999999997E-2</v>
      </c>
      <c r="D352" s="5">
        <v>1330.31</v>
      </c>
      <c r="E352" s="6">
        <f t="shared" si="23"/>
        <v>-8.4005426437484543E-3</v>
      </c>
      <c r="F352" s="7">
        <v>6.25E-2</v>
      </c>
      <c r="G352" s="7">
        <f t="shared" si="20"/>
        <v>1.1665379886105498E-3</v>
      </c>
      <c r="H352" s="9">
        <f t="shared" si="21"/>
        <v>-3.3766537988610547E-2</v>
      </c>
      <c r="I352" s="11">
        <f t="shared" si="22"/>
        <v>-9.5670806323590041E-3</v>
      </c>
    </row>
    <row r="353" spans="1:9" x14ac:dyDescent="0.3">
      <c r="A353" s="1">
        <v>42729</v>
      </c>
      <c r="B353" s="5">
        <v>1380</v>
      </c>
      <c r="C353" s="3">
        <v>3.3700000000000001E-2</v>
      </c>
      <c r="D353" s="5">
        <v>1351.68</v>
      </c>
      <c r="E353" s="6">
        <f t="shared" si="23"/>
        <v>1.6063924949823782E-2</v>
      </c>
      <c r="F353" s="7">
        <v>6.0850000000000001E-2</v>
      </c>
      <c r="G353" s="7">
        <f t="shared" si="20"/>
        <v>1.1366161047496881E-3</v>
      </c>
      <c r="H353" s="9">
        <f t="shared" si="21"/>
        <v>3.2563383895250313E-2</v>
      </c>
      <c r="I353" s="11">
        <f t="shared" si="22"/>
        <v>1.4927308845074094E-2</v>
      </c>
    </row>
    <row r="354" spans="1:9" x14ac:dyDescent="0.3">
      <c r="A354" s="1">
        <v>42736</v>
      </c>
      <c r="B354" s="5">
        <v>1395</v>
      </c>
      <c r="C354" s="3">
        <v>1.09E-2</v>
      </c>
      <c r="D354" s="5">
        <v>1374.08</v>
      </c>
      <c r="E354" s="6">
        <f t="shared" si="23"/>
        <v>1.6571969696969502E-2</v>
      </c>
      <c r="F354" s="7">
        <v>6.1699999999999998E-2</v>
      </c>
      <c r="G354" s="7">
        <f t="shared" si="20"/>
        <v>1.1520361043266814E-3</v>
      </c>
      <c r="H354" s="9">
        <f t="shared" si="21"/>
        <v>9.7479638956733186E-3</v>
      </c>
      <c r="I354" s="11">
        <f t="shared" si="22"/>
        <v>1.541993359264282E-2</v>
      </c>
    </row>
    <row r="355" spans="1:9" x14ac:dyDescent="0.3">
      <c r="A355" s="1">
        <v>42743</v>
      </c>
      <c r="B355" s="5">
        <v>1405</v>
      </c>
      <c r="C355" s="3">
        <v>7.1999999999999998E-3</v>
      </c>
      <c r="D355" s="5">
        <v>1369.62</v>
      </c>
      <c r="E355" s="6">
        <f t="shared" si="23"/>
        <v>-3.2458081043316156E-3</v>
      </c>
      <c r="F355" s="7">
        <v>6.25E-2</v>
      </c>
      <c r="G355" s="7">
        <f t="shared" si="20"/>
        <v>1.1665379886105498E-3</v>
      </c>
      <c r="H355" s="9">
        <f t="shared" si="21"/>
        <v>6.03346201138945E-3</v>
      </c>
      <c r="I355" s="11">
        <f t="shared" si="22"/>
        <v>-4.4123460929421654E-3</v>
      </c>
    </row>
    <row r="356" spans="1:9" x14ac:dyDescent="0.3">
      <c r="A356" s="1">
        <v>42750</v>
      </c>
      <c r="B356" s="5">
        <v>1385</v>
      </c>
      <c r="C356" s="3">
        <v>-1.4200000000000001E-2</v>
      </c>
      <c r="D356" s="5">
        <v>1354.35</v>
      </c>
      <c r="E356" s="6">
        <f t="shared" si="23"/>
        <v>-1.1149077846409949E-2</v>
      </c>
      <c r="F356" s="7">
        <v>6.3299999999999995E-2</v>
      </c>
      <c r="G356" s="7">
        <f t="shared" si="20"/>
        <v>1.1810291677623042E-3</v>
      </c>
      <c r="H356" s="9">
        <f t="shared" si="21"/>
        <v>-1.5381029167762305E-2</v>
      </c>
      <c r="I356" s="11">
        <f t="shared" si="22"/>
        <v>-1.2330107014172254E-2</v>
      </c>
    </row>
    <row r="357" spans="1:9" x14ac:dyDescent="0.3">
      <c r="A357" s="1">
        <v>42757</v>
      </c>
      <c r="B357" s="5">
        <v>1390</v>
      </c>
      <c r="C357" s="3">
        <v>3.5999999999999999E-3</v>
      </c>
      <c r="D357" s="5">
        <v>1372.59</v>
      </c>
      <c r="E357" s="6">
        <f t="shared" si="23"/>
        <v>1.3467715140104142E-2</v>
      </c>
      <c r="F357" s="7">
        <v>6.2E-2</v>
      </c>
      <c r="G357" s="7">
        <f t="shared" si="20"/>
        <v>1.1574755664547354E-3</v>
      </c>
      <c r="H357" s="9">
        <f t="shared" si="21"/>
        <v>2.4425244335452645E-3</v>
      </c>
      <c r="I357" s="11">
        <f t="shared" si="22"/>
        <v>1.2310239573649406E-2</v>
      </c>
    </row>
    <row r="358" spans="1:9" x14ac:dyDescent="0.3">
      <c r="A358" s="1">
        <v>42764</v>
      </c>
      <c r="B358" s="5">
        <v>1385</v>
      </c>
      <c r="C358" s="3">
        <v>-3.5999999999999999E-3</v>
      </c>
      <c r="D358" s="5">
        <v>1369.79</v>
      </c>
      <c r="E358" s="6">
        <f t="shared" si="23"/>
        <v>-2.0399390932470673E-3</v>
      </c>
      <c r="F358" s="7">
        <v>6.1589999999999999E-2</v>
      </c>
      <c r="G358" s="7">
        <f t="shared" si="20"/>
        <v>1.1500412571727736E-3</v>
      </c>
      <c r="H358" s="9">
        <f t="shared" si="21"/>
        <v>-4.7500412571727735E-3</v>
      </c>
      <c r="I358" s="11">
        <f t="shared" si="22"/>
        <v>-3.189980350419841E-3</v>
      </c>
    </row>
    <row r="359" spans="1:9" x14ac:dyDescent="0.3">
      <c r="A359" s="1">
        <v>42771</v>
      </c>
      <c r="B359" s="5">
        <v>1380</v>
      </c>
      <c r="C359" s="3">
        <v>-3.5999999999999999E-3</v>
      </c>
      <c r="D359" s="5">
        <v>1347.4</v>
      </c>
      <c r="E359" s="6">
        <f t="shared" si="23"/>
        <v>-1.6345571218945865E-2</v>
      </c>
      <c r="F359" s="7">
        <v>6.1200000000000004E-2</v>
      </c>
      <c r="G359" s="7">
        <f t="shared" si="20"/>
        <v>1.1429669833489253E-3</v>
      </c>
      <c r="H359" s="9">
        <f t="shared" si="21"/>
        <v>-4.7429669833489252E-3</v>
      </c>
      <c r="I359" s="11">
        <f t="shared" si="22"/>
        <v>-1.748853820229479E-2</v>
      </c>
    </row>
    <row r="360" spans="1:9" x14ac:dyDescent="0.3">
      <c r="A360" s="1">
        <v>42778</v>
      </c>
      <c r="B360" s="5">
        <v>1350</v>
      </c>
      <c r="C360" s="3">
        <v>-2.1700000000000001E-2</v>
      </c>
      <c r="D360" s="5">
        <v>1341.83</v>
      </c>
      <c r="E360" s="6">
        <f t="shared" si="23"/>
        <v>-4.1338874870121556E-3</v>
      </c>
      <c r="F360" s="7">
        <v>6.1050000000000007E-2</v>
      </c>
      <c r="G360" s="7">
        <f t="shared" si="20"/>
        <v>1.1402454298237163E-3</v>
      </c>
      <c r="H360" s="9">
        <f t="shared" si="21"/>
        <v>-2.2840245429823717E-2</v>
      </c>
      <c r="I360" s="11">
        <f t="shared" si="22"/>
        <v>-5.2741329168358719E-3</v>
      </c>
    </row>
    <row r="361" spans="1:9" x14ac:dyDescent="0.3">
      <c r="A361" s="1">
        <v>42785</v>
      </c>
      <c r="B361" s="5">
        <v>1320</v>
      </c>
      <c r="C361" s="3">
        <v>-2.2200000000000001E-2</v>
      </c>
      <c r="D361" s="5">
        <v>1333.57</v>
      </c>
      <c r="E361" s="6">
        <f t="shared" si="23"/>
        <v>-6.1557723407584808E-3</v>
      </c>
      <c r="F361" s="7">
        <v>5.9900000000000002E-2</v>
      </c>
      <c r="G361" s="7">
        <f t="shared" si="20"/>
        <v>1.1193676412004638E-3</v>
      </c>
      <c r="H361" s="9">
        <f t="shared" si="21"/>
        <v>-2.3319367641200465E-2</v>
      </c>
      <c r="I361" s="11">
        <f t="shared" si="22"/>
        <v>-7.2751399819589446E-3</v>
      </c>
    </row>
    <row r="362" spans="1:9" x14ac:dyDescent="0.3">
      <c r="A362" s="1">
        <v>42792</v>
      </c>
      <c r="B362" s="5">
        <v>1320</v>
      </c>
      <c r="C362" s="3">
        <v>0</v>
      </c>
      <c r="D362" s="5">
        <v>1329.58</v>
      </c>
      <c r="E362" s="6">
        <f t="shared" si="23"/>
        <v>-2.9919689255156756E-3</v>
      </c>
      <c r="F362" s="7">
        <v>5.9400000000000001E-2</v>
      </c>
      <c r="G362" s="7">
        <f t="shared" si="20"/>
        <v>1.1102834112470816E-3</v>
      </c>
      <c r="H362" s="9">
        <f t="shared" si="21"/>
        <v>-1.1102834112470816E-3</v>
      </c>
      <c r="I362" s="11">
        <f t="shared" si="22"/>
        <v>-4.1022523367627572E-3</v>
      </c>
    </row>
    <row r="363" spans="1:9" x14ac:dyDescent="0.3">
      <c r="A363" s="1">
        <v>42799</v>
      </c>
      <c r="B363" s="5">
        <v>1315</v>
      </c>
      <c r="C363" s="3">
        <v>-3.8E-3</v>
      </c>
      <c r="D363" s="5">
        <v>1335.67</v>
      </c>
      <c r="E363" s="6">
        <f t="shared" si="23"/>
        <v>4.5803938085713369E-3</v>
      </c>
      <c r="F363" s="7">
        <v>5.9349999999999993E-2</v>
      </c>
      <c r="G363" s="7">
        <f t="shared" si="20"/>
        <v>1.1093747569885792E-3</v>
      </c>
      <c r="H363" s="9">
        <f t="shared" si="21"/>
        <v>-4.9093747569885788E-3</v>
      </c>
      <c r="I363" s="11">
        <f t="shared" si="22"/>
        <v>3.4710190515827577E-3</v>
      </c>
    </row>
    <row r="364" spans="1:9" x14ac:dyDescent="0.3">
      <c r="A364" s="1">
        <v>42806</v>
      </c>
      <c r="B364" s="5">
        <v>1300</v>
      </c>
      <c r="C364" s="3">
        <v>-1.14E-2</v>
      </c>
      <c r="D364" s="5">
        <v>1337.29</v>
      </c>
      <c r="E364" s="6">
        <f t="shared" si="23"/>
        <v>1.2128744375481393E-3</v>
      </c>
      <c r="F364" s="7">
        <v>6.0019999999999997E-2</v>
      </c>
      <c r="G364" s="7">
        <f t="shared" si="20"/>
        <v>1.1215472309784591E-3</v>
      </c>
      <c r="H364" s="9">
        <f t="shared" si="21"/>
        <v>-1.252154723097846E-2</v>
      </c>
      <c r="I364" s="11">
        <f t="shared" si="22"/>
        <v>9.1327206569680186E-5</v>
      </c>
    </row>
    <row r="365" spans="1:9" x14ac:dyDescent="0.3">
      <c r="A365" s="1">
        <v>42813</v>
      </c>
      <c r="B365" s="5">
        <v>1315</v>
      </c>
      <c r="C365" s="3">
        <v>1.15E-2</v>
      </c>
      <c r="D365" s="5">
        <v>1355.53</v>
      </c>
      <c r="E365" s="6">
        <f t="shared" si="23"/>
        <v>1.3639524710421735E-2</v>
      </c>
      <c r="F365" s="7">
        <v>5.9699999999999996E-2</v>
      </c>
      <c r="G365" s="7">
        <f t="shared" si="20"/>
        <v>1.1157344536831815E-3</v>
      </c>
      <c r="H365" s="9">
        <f t="shared" si="21"/>
        <v>1.0384265546316818E-2</v>
      </c>
      <c r="I365" s="11">
        <f t="shared" si="22"/>
        <v>1.2523790256738554E-2</v>
      </c>
    </row>
    <row r="366" spans="1:9" x14ac:dyDescent="0.3">
      <c r="A366" s="1">
        <v>42820</v>
      </c>
      <c r="B366" s="5">
        <v>1350</v>
      </c>
      <c r="C366" s="3">
        <v>2.6599999999999999E-2</v>
      </c>
      <c r="D366" s="5">
        <v>1365.61</v>
      </c>
      <c r="E366" s="6">
        <f t="shared" si="23"/>
        <v>7.4362057645347424E-3</v>
      </c>
      <c r="F366" s="7">
        <v>5.91E-2</v>
      </c>
      <c r="G366" s="7">
        <f t="shared" si="20"/>
        <v>1.1048308546639518E-3</v>
      </c>
      <c r="H366" s="9">
        <f t="shared" si="21"/>
        <v>2.5495169145336047E-2</v>
      </c>
      <c r="I366" s="11">
        <f t="shared" si="22"/>
        <v>6.3313749098707905E-3</v>
      </c>
    </row>
    <row r="367" spans="1:9" x14ac:dyDescent="0.3">
      <c r="A367" s="1">
        <v>42827</v>
      </c>
      <c r="B367" s="5">
        <v>1365</v>
      </c>
      <c r="C367" s="3">
        <v>1.11E-2</v>
      </c>
      <c r="D367" s="5">
        <v>1368.98</v>
      </c>
      <c r="E367" s="6">
        <f t="shared" si="23"/>
        <v>2.467761659624701E-3</v>
      </c>
      <c r="F367" s="7">
        <v>5.9740000000000001E-2</v>
      </c>
      <c r="G367" s="7">
        <f t="shared" si="20"/>
        <v>1.1164611449847595E-3</v>
      </c>
      <c r="H367" s="9">
        <f t="shared" si="21"/>
        <v>9.983538855015241E-3</v>
      </c>
      <c r="I367" s="11">
        <f t="shared" si="22"/>
        <v>1.3513005146399415E-3</v>
      </c>
    </row>
    <row r="368" spans="1:9" x14ac:dyDescent="0.3">
      <c r="A368" s="1">
        <v>42834</v>
      </c>
      <c r="B368" s="5">
        <v>1400</v>
      </c>
      <c r="C368" s="3">
        <v>2.5600000000000001E-2</v>
      </c>
      <c r="D368" s="5">
        <v>1378.28</v>
      </c>
      <c r="E368" s="6">
        <f t="shared" si="23"/>
        <v>6.7933790121110782E-3</v>
      </c>
      <c r="F368" s="7">
        <v>6.0199999999999997E-2</v>
      </c>
      <c r="G368" s="7">
        <f t="shared" si="20"/>
        <v>1.1248161619445973E-3</v>
      </c>
      <c r="H368" s="9">
        <f t="shared" si="21"/>
        <v>2.4475183838055404E-2</v>
      </c>
      <c r="I368" s="11">
        <f t="shared" si="22"/>
        <v>5.6685628501664809E-3</v>
      </c>
    </row>
    <row r="369" spans="1:9" x14ac:dyDescent="0.3">
      <c r="A369" s="1">
        <v>42841</v>
      </c>
      <c r="B369" s="5">
        <v>1365</v>
      </c>
      <c r="C369" s="3">
        <v>-2.5000000000000001E-2</v>
      </c>
      <c r="D369" s="5">
        <v>1362.33</v>
      </c>
      <c r="E369" s="6">
        <f t="shared" si="23"/>
        <v>-1.1572394578750367E-2</v>
      </c>
      <c r="F369" s="7">
        <v>6.0999999999999999E-2</v>
      </c>
      <c r="G369" s="7">
        <f t="shared" si="20"/>
        <v>1.1393381614603904E-3</v>
      </c>
      <c r="H369" s="9">
        <f t="shared" si="21"/>
        <v>-2.6139338161460392E-2</v>
      </c>
      <c r="I369" s="11">
        <f t="shared" si="22"/>
        <v>-1.2711732740210757E-2</v>
      </c>
    </row>
    <row r="370" spans="1:9" x14ac:dyDescent="0.3">
      <c r="A370" s="1">
        <v>42848</v>
      </c>
      <c r="B370" s="5">
        <v>1360</v>
      </c>
      <c r="C370" s="3">
        <v>-3.7000000000000002E-3</v>
      </c>
      <c r="D370" s="5">
        <v>1371.54</v>
      </c>
      <c r="E370" s="6">
        <f t="shared" si="23"/>
        <v>6.7604765365221198E-3</v>
      </c>
      <c r="F370" s="7">
        <v>6.0199999999999997E-2</v>
      </c>
      <c r="G370" s="7">
        <f t="shared" si="20"/>
        <v>1.1248161619445973E-3</v>
      </c>
      <c r="H370" s="9">
        <f t="shared" si="21"/>
        <v>-4.8248161619445975E-3</v>
      </c>
      <c r="I370" s="11">
        <f t="shared" si="22"/>
        <v>5.6356603745775224E-3</v>
      </c>
    </row>
    <row r="371" spans="1:9" x14ac:dyDescent="0.3">
      <c r="A371" s="1">
        <v>42855</v>
      </c>
      <c r="B371" s="5">
        <v>1365</v>
      </c>
      <c r="C371" s="3">
        <v>3.7000000000000002E-3</v>
      </c>
      <c r="D371" s="5">
        <v>1384.92</v>
      </c>
      <c r="E371" s="6">
        <f t="shared" si="23"/>
        <v>9.7554573690887825E-3</v>
      </c>
      <c r="F371" s="7">
        <v>5.9299999999999999E-2</v>
      </c>
      <c r="G371" s="7">
        <f t="shared" si="20"/>
        <v>1.108466060666613E-3</v>
      </c>
      <c r="H371" s="9">
        <f t="shared" si="21"/>
        <v>2.5915339393333871E-3</v>
      </c>
      <c r="I371" s="11">
        <f t="shared" si="22"/>
        <v>8.6469913084221695E-3</v>
      </c>
    </row>
    <row r="372" spans="1:9" x14ac:dyDescent="0.3">
      <c r="A372" s="1">
        <v>42862</v>
      </c>
      <c r="B372" s="5">
        <v>1445</v>
      </c>
      <c r="C372" s="3">
        <v>5.8599999999999999E-2</v>
      </c>
      <c r="D372" s="5">
        <v>1443.56</v>
      </c>
      <c r="E372" s="6">
        <f t="shared" si="23"/>
        <v>4.2341795916009506E-2</v>
      </c>
      <c r="F372" s="7">
        <v>5.7910000000000003E-2</v>
      </c>
      <c r="G372" s="7">
        <f t="shared" si="20"/>
        <v>1.083187448373657E-3</v>
      </c>
      <c r="H372" s="9">
        <f t="shared" si="21"/>
        <v>5.7516812551626342E-2</v>
      </c>
      <c r="I372" s="11">
        <f t="shared" si="22"/>
        <v>4.1258608467635849E-2</v>
      </c>
    </row>
    <row r="373" spans="1:9" x14ac:dyDescent="0.3">
      <c r="A373" s="1">
        <v>42869</v>
      </c>
      <c r="B373" s="5">
        <v>1435</v>
      </c>
      <c r="C373" s="3">
        <v>-6.8999999999999999E-3</v>
      </c>
      <c r="D373" s="5">
        <v>1436.19</v>
      </c>
      <c r="E373" s="6">
        <f t="shared" si="23"/>
        <v>-5.1054337886889956E-3</v>
      </c>
      <c r="F373" s="7">
        <v>5.74E-2</v>
      </c>
      <c r="G373" s="7">
        <f t="shared" si="20"/>
        <v>1.0739043924203884E-3</v>
      </c>
      <c r="H373" s="9">
        <f t="shared" si="21"/>
        <v>-7.9739043924203883E-3</v>
      </c>
      <c r="I373" s="11">
        <f t="shared" si="22"/>
        <v>-6.1793381811093839E-3</v>
      </c>
    </row>
    <row r="374" spans="1:9" x14ac:dyDescent="0.3">
      <c r="A374" s="1">
        <v>42876</v>
      </c>
      <c r="B374" s="5">
        <v>1395</v>
      </c>
      <c r="C374" s="3">
        <v>-2.7900000000000001E-2</v>
      </c>
      <c r="D374" s="5">
        <v>1448.93</v>
      </c>
      <c r="E374" s="6">
        <f t="shared" si="23"/>
        <v>8.8706925963835115E-3</v>
      </c>
      <c r="F374" s="7">
        <v>5.7200000000000001E-2</v>
      </c>
      <c r="G374" s="7">
        <f t="shared" si="20"/>
        <v>1.0702627795800002E-3</v>
      </c>
      <c r="H374" s="9">
        <f t="shared" si="21"/>
        <v>-2.8970262779580001E-2</v>
      </c>
      <c r="I374" s="11">
        <f t="shared" si="22"/>
        <v>7.8004298168035113E-3</v>
      </c>
    </row>
    <row r="375" spans="1:9" x14ac:dyDescent="0.3">
      <c r="A375" s="1">
        <v>42883</v>
      </c>
      <c r="B375" s="5">
        <v>1335</v>
      </c>
      <c r="C375" s="3">
        <v>-4.2999999999999997E-2</v>
      </c>
      <c r="D375" s="5">
        <v>1441.81</v>
      </c>
      <c r="E375" s="6">
        <f t="shared" si="23"/>
        <v>-4.9139709992892522E-3</v>
      </c>
      <c r="F375" s="7">
        <v>5.6500000000000002E-2</v>
      </c>
      <c r="G375" s="7">
        <f t="shared" si="20"/>
        <v>1.0575118115963011E-3</v>
      </c>
      <c r="H375" s="9">
        <f t="shared" si="21"/>
        <v>-4.4057511811596298E-2</v>
      </c>
      <c r="I375" s="11">
        <f t="shared" si="22"/>
        <v>-5.9714828108855533E-3</v>
      </c>
    </row>
    <row r="376" spans="1:9" x14ac:dyDescent="0.3">
      <c r="A376" s="1">
        <v>42890</v>
      </c>
      <c r="B376" s="5">
        <v>1370</v>
      </c>
      <c r="C376" s="3">
        <v>2.6200000000000001E-2</v>
      </c>
      <c r="D376" s="5">
        <v>1450.45</v>
      </c>
      <c r="E376" s="6">
        <f t="shared" si="23"/>
        <v>5.9924678008891341E-3</v>
      </c>
      <c r="F376" s="7">
        <v>5.7500000000000002E-2</v>
      </c>
      <c r="G376" s="7">
        <f t="shared" si="20"/>
        <v>1.0757249455206619E-3</v>
      </c>
      <c r="H376" s="9">
        <f t="shared" si="21"/>
        <v>2.5124275054479339E-2</v>
      </c>
      <c r="I376" s="11">
        <f t="shared" si="22"/>
        <v>4.9167428553684722E-3</v>
      </c>
    </row>
    <row r="377" spans="1:9" x14ac:dyDescent="0.3">
      <c r="A377" s="1">
        <v>42897</v>
      </c>
      <c r="B377" s="5">
        <v>1365</v>
      </c>
      <c r="C377" s="3">
        <v>-3.5999999999999999E-3</v>
      </c>
      <c r="D377" s="5">
        <v>1464.77</v>
      </c>
      <c r="E377" s="6">
        <f t="shared" si="23"/>
        <v>9.8727980971422546E-3</v>
      </c>
      <c r="F377" s="7">
        <v>5.7000000000000002E-2</v>
      </c>
      <c r="G377" s="7">
        <f t="shared" si="20"/>
        <v>1.0666204910090293E-3</v>
      </c>
      <c r="H377" s="9">
        <f t="shared" si="21"/>
        <v>-4.6666204910090292E-3</v>
      </c>
      <c r="I377" s="11">
        <f t="shared" si="22"/>
        <v>8.8061776061332253E-3</v>
      </c>
    </row>
    <row r="378" spans="1:9" x14ac:dyDescent="0.3">
      <c r="A378" s="1">
        <v>42904</v>
      </c>
      <c r="B378" s="5">
        <v>1340</v>
      </c>
      <c r="C378" s="3">
        <v>-1.83E-2</v>
      </c>
      <c r="D378" s="5">
        <v>1435.12</v>
      </c>
      <c r="E378" s="6">
        <f t="shared" si="23"/>
        <v>-2.0242085788212516E-2</v>
      </c>
      <c r="F378" s="7">
        <v>5.6399999999999999E-2</v>
      </c>
      <c r="G378" s="7">
        <f t="shared" si="20"/>
        <v>1.0556895683770939E-3</v>
      </c>
      <c r="H378" s="9">
        <f t="shared" si="21"/>
        <v>-1.9355689568377094E-2</v>
      </c>
      <c r="I378" s="11">
        <f t="shared" si="22"/>
        <v>-2.129777535658961E-2</v>
      </c>
    </row>
    <row r="379" spans="1:9" x14ac:dyDescent="0.3">
      <c r="A379" s="1">
        <v>42911</v>
      </c>
      <c r="B379" s="5">
        <v>1380</v>
      </c>
      <c r="C379" s="3">
        <v>2.9899999999999999E-2</v>
      </c>
      <c r="D379" s="5">
        <v>1462.9</v>
      </c>
      <c r="E379" s="6">
        <f t="shared" si="23"/>
        <v>1.9357266291320618E-2</v>
      </c>
      <c r="F379" s="7">
        <v>5.7000000000000002E-2</v>
      </c>
      <c r="G379" s="7">
        <f t="shared" si="20"/>
        <v>1.0666204910090293E-3</v>
      </c>
      <c r="H379" s="9">
        <f t="shared" si="21"/>
        <v>2.883337950899097E-2</v>
      </c>
      <c r="I379" s="11">
        <f t="shared" si="22"/>
        <v>1.8290645800311589E-2</v>
      </c>
    </row>
    <row r="380" spans="1:9" x14ac:dyDescent="0.3">
      <c r="A380" s="1">
        <v>42918</v>
      </c>
      <c r="B380" s="5">
        <v>1355</v>
      </c>
      <c r="C380" s="3">
        <v>-1.8100000000000002E-2</v>
      </c>
      <c r="D380" s="5">
        <v>1470.32</v>
      </c>
      <c r="E380" s="6">
        <f t="shared" si="23"/>
        <v>5.0721170278213989E-3</v>
      </c>
      <c r="F380" s="7">
        <v>5.7099999999999998E-2</v>
      </c>
      <c r="G380" s="7">
        <f t="shared" si="20"/>
        <v>1.0684417197766027E-3</v>
      </c>
      <c r="H380" s="9">
        <f t="shared" si="21"/>
        <v>-1.9168441719776604E-2</v>
      </c>
      <c r="I380" s="11">
        <f t="shared" si="22"/>
        <v>4.0036753080447962E-3</v>
      </c>
    </row>
    <row r="381" spans="1:9" x14ac:dyDescent="0.3">
      <c r="A381" s="1">
        <v>42925</v>
      </c>
      <c r="B381" s="5">
        <v>1400</v>
      </c>
      <c r="C381" s="3">
        <v>3.32E-2</v>
      </c>
      <c r="D381" s="5">
        <v>1487.8</v>
      </c>
      <c r="E381" s="6">
        <f t="shared" si="23"/>
        <v>1.1888568474889727E-2</v>
      </c>
      <c r="F381" s="7">
        <v>5.6600000000000004E-2</v>
      </c>
      <c r="G381" s="7">
        <f t="shared" si="20"/>
        <v>1.0593338856608181E-3</v>
      </c>
      <c r="H381" s="9">
        <f t="shared" si="21"/>
        <v>3.2140666114339182E-2</v>
      </c>
      <c r="I381" s="11">
        <f t="shared" si="22"/>
        <v>1.0829234589228909E-2</v>
      </c>
    </row>
    <row r="382" spans="1:9" x14ac:dyDescent="0.3">
      <c r="A382" s="1">
        <v>42932</v>
      </c>
      <c r="B382" s="5">
        <v>1375</v>
      </c>
      <c r="C382" s="3">
        <v>-1.7899999999999999E-2</v>
      </c>
      <c r="D382" s="5">
        <v>1471.34</v>
      </c>
      <c r="E382" s="6">
        <f t="shared" si="23"/>
        <v>-1.1063314961688442E-2</v>
      </c>
      <c r="F382" s="7">
        <v>5.8200000000000002E-2</v>
      </c>
      <c r="G382" s="7">
        <f t="shared" si="20"/>
        <v>1.0884640915338473E-3</v>
      </c>
      <c r="H382" s="9">
        <f t="shared" si="21"/>
        <v>-1.8988464091533847E-2</v>
      </c>
      <c r="I382" s="11">
        <f t="shared" si="22"/>
        <v>-1.2151779053222289E-2</v>
      </c>
    </row>
    <row r="383" spans="1:9" x14ac:dyDescent="0.3">
      <c r="A383" s="1">
        <v>42939</v>
      </c>
      <c r="B383" s="5">
        <v>1395</v>
      </c>
      <c r="C383" s="3">
        <v>1.4500000000000001E-2</v>
      </c>
      <c r="D383" s="5">
        <v>1486.79</v>
      </c>
      <c r="E383" s="6">
        <f t="shared" si="23"/>
        <v>1.0500632076882344E-2</v>
      </c>
      <c r="F383" s="7">
        <v>5.8799999999999998E-2</v>
      </c>
      <c r="G383" s="7">
        <f t="shared" si="20"/>
        <v>1.0993767830844714E-3</v>
      </c>
      <c r="H383" s="9">
        <f t="shared" si="21"/>
        <v>1.3400623216915529E-2</v>
      </c>
      <c r="I383" s="11">
        <f t="shared" si="22"/>
        <v>9.4012552937978722E-3</v>
      </c>
    </row>
    <row r="384" spans="1:9" x14ac:dyDescent="0.3">
      <c r="A384" s="1">
        <v>42946</v>
      </c>
      <c r="B384" s="5">
        <v>1385</v>
      </c>
      <c r="C384" s="3">
        <v>-7.1999999999999998E-3</v>
      </c>
      <c r="D384" s="5">
        <v>1476.47</v>
      </c>
      <c r="E384" s="6">
        <f t="shared" si="23"/>
        <v>-6.941128202368807E-3</v>
      </c>
      <c r="F384" s="7">
        <v>5.8449999999999995E-2</v>
      </c>
      <c r="G384" s="7">
        <f t="shared" si="20"/>
        <v>1.093011783653397E-3</v>
      </c>
      <c r="H384" s="9">
        <f t="shared" si="21"/>
        <v>-8.2930117836533968E-3</v>
      </c>
      <c r="I384" s="11">
        <f t="shared" si="22"/>
        <v>-8.034139986022204E-3</v>
      </c>
    </row>
    <row r="385" spans="1:9" x14ac:dyDescent="0.3">
      <c r="A385" s="1">
        <v>42953</v>
      </c>
      <c r="B385" s="5">
        <v>1365</v>
      </c>
      <c r="C385" s="3">
        <v>-1.44E-2</v>
      </c>
      <c r="D385" s="5">
        <v>1463.07</v>
      </c>
      <c r="E385" s="6">
        <f t="shared" si="23"/>
        <v>-9.0757008269725103E-3</v>
      </c>
      <c r="F385" s="7">
        <v>5.7880000000000001E-2</v>
      </c>
      <c r="G385" s="7">
        <f t="shared" si="20"/>
        <v>1.0826415077698215E-3</v>
      </c>
      <c r="H385" s="9">
        <f t="shared" si="21"/>
        <v>-1.5482641507769821E-2</v>
      </c>
      <c r="I385" s="11">
        <f t="shared" si="22"/>
        <v>-1.0158342334742332E-2</v>
      </c>
    </row>
    <row r="386" spans="1:9" x14ac:dyDescent="0.3">
      <c r="A386" s="1">
        <v>42960</v>
      </c>
      <c r="B386" s="5">
        <v>1370</v>
      </c>
      <c r="C386" s="3">
        <v>3.7000000000000002E-3</v>
      </c>
      <c r="D386" s="5">
        <v>1477.21</v>
      </c>
      <c r="E386" s="6">
        <f t="shared" si="23"/>
        <v>9.6646093488350626E-3</v>
      </c>
      <c r="F386" s="7">
        <v>5.9699999999999996E-2</v>
      </c>
      <c r="G386" s="7">
        <f t="shared" si="20"/>
        <v>1.1157344536831815E-3</v>
      </c>
      <c r="H386" s="9">
        <f t="shared" si="21"/>
        <v>2.5842655463168187E-3</v>
      </c>
      <c r="I386" s="11">
        <f t="shared" si="22"/>
        <v>8.5488748951518811E-3</v>
      </c>
    </row>
    <row r="387" spans="1:9" x14ac:dyDescent="0.3">
      <c r="A387" s="1">
        <v>42967</v>
      </c>
      <c r="B387" s="5">
        <v>1360</v>
      </c>
      <c r="C387" s="3">
        <v>-7.3000000000000001E-3</v>
      </c>
      <c r="D387" s="5">
        <v>1475.17</v>
      </c>
      <c r="E387" s="6">
        <f t="shared" si="23"/>
        <v>-1.3809817155312487E-3</v>
      </c>
      <c r="F387" s="7">
        <v>5.8899999999999994E-2</v>
      </c>
      <c r="G387" s="7">
        <f t="shared" ref="G387:G450" si="24">(1+F387)^(1/52)-1</f>
        <v>1.1011949753299E-3</v>
      </c>
      <c r="H387" s="9">
        <f t="shared" ref="H387:H450" si="25">C387-G387</f>
        <v>-8.4011949753299009E-3</v>
      </c>
      <c r="I387" s="11">
        <f t="shared" ref="I387:I450" si="26">E387-G387</f>
        <v>-2.4821766908611487E-3</v>
      </c>
    </row>
    <row r="388" spans="1:9" x14ac:dyDescent="0.3">
      <c r="A388" s="1">
        <v>42974</v>
      </c>
      <c r="B388" s="5">
        <v>1370</v>
      </c>
      <c r="C388" s="3">
        <v>7.4000000000000003E-3</v>
      </c>
      <c r="D388" s="5">
        <v>1494.17</v>
      </c>
      <c r="E388" s="6">
        <f t="shared" ref="E388:E451" si="27">D388/D387-1</f>
        <v>1.2879871472440518E-2</v>
      </c>
      <c r="F388" s="7">
        <v>5.7699999999999994E-2</v>
      </c>
      <c r="G388" s="7">
        <f t="shared" si="24"/>
        <v>1.0793655452392414E-3</v>
      </c>
      <c r="H388" s="9">
        <f t="shared" si="25"/>
        <v>6.3206344547607589E-3</v>
      </c>
      <c r="I388" s="11">
        <f t="shared" si="26"/>
        <v>1.1800505927201277E-2</v>
      </c>
    </row>
    <row r="389" spans="1:9" x14ac:dyDescent="0.3">
      <c r="A389" s="1">
        <v>42981</v>
      </c>
      <c r="B389" s="5">
        <v>1360</v>
      </c>
      <c r="C389" s="3">
        <v>-7.3000000000000001E-3</v>
      </c>
      <c r="D389" s="5">
        <v>1499.58</v>
      </c>
      <c r="E389" s="6">
        <f t="shared" si="27"/>
        <v>3.6207392733087485E-3</v>
      </c>
      <c r="F389" s="7">
        <v>5.7800000000000004E-2</v>
      </c>
      <c r="G389" s="7">
        <f t="shared" si="24"/>
        <v>1.0811855919208302E-3</v>
      </c>
      <c r="H389" s="9">
        <f t="shared" si="25"/>
        <v>-8.3811855919208311E-3</v>
      </c>
      <c r="I389" s="11">
        <f t="shared" si="26"/>
        <v>2.5395536813879183E-3</v>
      </c>
    </row>
    <row r="390" spans="1:9" x14ac:dyDescent="0.3">
      <c r="A390" s="1">
        <v>42988</v>
      </c>
      <c r="B390" s="5">
        <v>1370</v>
      </c>
      <c r="C390" s="3">
        <v>7.4000000000000003E-3</v>
      </c>
      <c r="D390" s="5">
        <v>1492.96</v>
      </c>
      <c r="E390" s="6">
        <f t="shared" si="27"/>
        <v>-4.414569412768854E-3</v>
      </c>
      <c r="F390" s="7">
        <v>5.6500000000000002E-2</v>
      </c>
      <c r="G390" s="7">
        <f t="shared" si="24"/>
        <v>1.0575118115963011E-3</v>
      </c>
      <c r="H390" s="9">
        <f t="shared" si="25"/>
        <v>6.3424881884036992E-3</v>
      </c>
      <c r="I390" s="11">
        <f t="shared" si="26"/>
        <v>-5.4720812243651551E-3</v>
      </c>
    </row>
    <row r="391" spans="1:9" x14ac:dyDescent="0.3">
      <c r="A391" s="1">
        <v>42995</v>
      </c>
      <c r="B391" s="5">
        <v>1380</v>
      </c>
      <c r="C391" s="3">
        <v>7.3000000000000001E-3</v>
      </c>
      <c r="D391" s="5">
        <v>1486.15</v>
      </c>
      <c r="E391" s="6">
        <f t="shared" si="27"/>
        <v>-4.5614082091951502E-3</v>
      </c>
      <c r="F391" s="7">
        <v>6.0100000000000001E-2</v>
      </c>
      <c r="G391" s="7">
        <f t="shared" si="24"/>
        <v>1.1230001563922176E-3</v>
      </c>
      <c r="H391" s="9">
        <f t="shared" si="25"/>
        <v>6.1769998436077824E-3</v>
      </c>
      <c r="I391" s="11">
        <f t="shared" si="26"/>
        <v>-5.6844083655873678E-3</v>
      </c>
    </row>
    <row r="392" spans="1:9" x14ac:dyDescent="0.3">
      <c r="A392" s="1">
        <v>43002</v>
      </c>
      <c r="B392" s="5">
        <v>1400</v>
      </c>
      <c r="C392" s="3">
        <v>1.4500000000000001E-2</v>
      </c>
      <c r="D392" s="5">
        <v>1487.52</v>
      </c>
      <c r="E392" s="6">
        <f t="shared" si="27"/>
        <v>9.2184503583081501E-4</v>
      </c>
      <c r="F392" s="7">
        <v>5.9299999999999999E-2</v>
      </c>
      <c r="G392" s="7">
        <f t="shared" si="24"/>
        <v>1.108466060666613E-3</v>
      </c>
      <c r="H392" s="9">
        <f t="shared" si="25"/>
        <v>1.3391533939333388E-2</v>
      </c>
      <c r="I392" s="11">
        <f t="shared" si="26"/>
        <v>-1.8662102483579801E-4</v>
      </c>
    </row>
    <row r="393" spans="1:9" x14ac:dyDescent="0.3">
      <c r="A393" s="1">
        <v>43009</v>
      </c>
      <c r="B393" s="5">
        <v>1400</v>
      </c>
      <c r="C393" s="3">
        <v>0</v>
      </c>
      <c r="D393" s="5">
        <v>1491.47</v>
      </c>
      <c r="E393" s="6">
        <f t="shared" si="27"/>
        <v>2.6554264816607276E-3</v>
      </c>
      <c r="F393" s="7">
        <v>5.9000000000000004E-2</v>
      </c>
      <c r="G393" s="7">
        <f t="shared" si="24"/>
        <v>1.1030129991791426E-3</v>
      </c>
      <c r="H393" s="9">
        <f t="shared" si="25"/>
        <v>-1.1030129991791426E-3</v>
      </c>
      <c r="I393" s="11">
        <f t="shared" si="26"/>
        <v>1.5524134824815849E-3</v>
      </c>
    </row>
    <row r="394" spans="1:9" x14ac:dyDescent="0.3">
      <c r="A394" s="1">
        <v>43016</v>
      </c>
      <c r="B394" s="5">
        <v>1430</v>
      </c>
      <c r="C394" s="3">
        <v>2.1399999999999999E-2</v>
      </c>
      <c r="D394" s="5">
        <v>1486.35</v>
      </c>
      <c r="E394" s="6">
        <f t="shared" si="27"/>
        <v>-3.4328548344921828E-3</v>
      </c>
      <c r="F394" s="7">
        <v>5.9299999999999999E-2</v>
      </c>
      <c r="G394" s="7">
        <f t="shared" si="24"/>
        <v>1.108466060666613E-3</v>
      </c>
      <c r="H394" s="9">
        <f t="shared" si="25"/>
        <v>2.0291533939333386E-2</v>
      </c>
      <c r="I394" s="11">
        <f t="shared" si="26"/>
        <v>-4.5413208951587958E-3</v>
      </c>
    </row>
    <row r="395" spans="1:9" x14ac:dyDescent="0.3">
      <c r="A395" s="1">
        <v>43023</v>
      </c>
      <c r="B395" s="5">
        <v>1445</v>
      </c>
      <c r="C395" s="3">
        <v>1.0500000000000001E-2</v>
      </c>
      <c r="D395" s="5">
        <v>1464.99</v>
      </c>
      <c r="E395" s="6">
        <f t="shared" si="27"/>
        <v>-1.4370774043798495E-2</v>
      </c>
      <c r="F395" s="7">
        <v>5.9800000000000006E-2</v>
      </c>
      <c r="G395" s="7">
        <f t="shared" si="24"/>
        <v>1.1175511314982511E-3</v>
      </c>
      <c r="H395" s="9">
        <f t="shared" si="25"/>
        <v>9.3824488685017495E-3</v>
      </c>
      <c r="I395" s="11">
        <f t="shared" si="26"/>
        <v>-1.5488325175296747E-2</v>
      </c>
    </row>
    <row r="396" spans="1:9" x14ac:dyDescent="0.3">
      <c r="A396" s="1">
        <v>43030</v>
      </c>
      <c r="B396" s="5">
        <v>1610</v>
      </c>
      <c r="C396" s="3">
        <v>0.1142</v>
      </c>
      <c r="D396" s="5">
        <v>1445.07</v>
      </c>
      <c r="E396" s="6">
        <f t="shared" si="27"/>
        <v>-1.3597362439334071E-2</v>
      </c>
      <c r="F396" s="7">
        <v>6.0199999999999997E-2</v>
      </c>
      <c r="G396" s="7">
        <f t="shared" si="24"/>
        <v>1.1248161619445973E-3</v>
      </c>
      <c r="H396" s="9">
        <f t="shared" si="25"/>
        <v>0.1130751838380554</v>
      </c>
      <c r="I396" s="11">
        <f t="shared" si="26"/>
        <v>-1.4722178601278668E-2</v>
      </c>
    </row>
    <row r="397" spans="1:9" x14ac:dyDescent="0.3">
      <c r="A397" s="1">
        <v>43037</v>
      </c>
      <c r="B397" s="5">
        <v>1700</v>
      </c>
      <c r="C397" s="3">
        <v>5.5899999999999998E-2</v>
      </c>
      <c r="D397" s="5">
        <v>1418.58</v>
      </c>
      <c r="E397" s="6">
        <f t="shared" si="27"/>
        <v>-1.8331291909734482E-2</v>
      </c>
      <c r="F397" s="7">
        <v>6.1799999999999994E-2</v>
      </c>
      <c r="G397" s="7">
        <f t="shared" si="24"/>
        <v>1.153849425845177E-3</v>
      </c>
      <c r="H397" s="9">
        <f t="shared" si="25"/>
        <v>5.4746150574154821E-2</v>
      </c>
      <c r="I397" s="11">
        <f t="shared" si="26"/>
        <v>-1.9485141335579659E-2</v>
      </c>
    </row>
    <row r="398" spans="1:9" x14ac:dyDescent="0.3">
      <c r="A398" s="1">
        <v>43044</v>
      </c>
      <c r="B398" s="5">
        <v>1810</v>
      </c>
      <c r="C398" s="3">
        <v>6.4699999999999994E-2</v>
      </c>
      <c r="D398" s="5">
        <v>1434.36</v>
      </c>
      <c r="E398" s="6">
        <f t="shared" si="27"/>
        <v>1.1123799856194161E-2</v>
      </c>
      <c r="F398" s="7">
        <v>6.0999999999999999E-2</v>
      </c>
      <c r="G398" s="7">
        <f t="shared" si="24"/>
        <v>1.1393381614603904E-3</v>
      </c>
      <c r="H398" s="9">
        <f t="shared" si="25"/>
        <v>6.3560661838539603E-2</v>
      </c>
      <c r="I398" s="11">
        <f t="shared" si="26"/>
        <v>9.9844616947337705E-3</v>
      </c>
    </row>
    <row r="399" spans="1:9" x14ac:dyDescent="0.3">
      <c r="A399" s="1">
        <v>43051</v>
      </c>
      <c r="B399" s="5">
        <v>1750</v>
      </c>
      <c r="C399" s="3">
        <v>-3.3099999999999997E-2</v>
      </c>
      <c r="D399" s="5">
        <v>1443.55</v>
      </c>
      <c r="E399" s="6">
        <f t="shared" si="27"/>
        <v>6.407038679271615E-3</v>
      </c>
      <c r="F399" s="7">
        <v>6.0700000000000004E-2</v>
      </c>
      <c r="G399" s="7">
        <f t="shared" si="24"/>
        <v>1.1338936705265201E-3</v>
      </c>
      <c r="H399" s="9">
        <f t="shared" si="25"/>
        <v>-3.4233893670526518E-2</v>
      </c>
      <c r="I399" s="11">
        <f t="shared" si="26"/>
        <v>5.2731450087450948E-3</v>
      </c>
    </row>
    <row r="400" spans="1:9" x14ac:dyDescent="0.3">
      <c r="A400" s="1">
        <v>43058</v>
      </c>
      <c r="B400" s="5">
        <v>1760</v>
      </c>
      <c r="C400" s="3">
        <v>5.7000000000000002E-3</v>
      </c>
      <c r="D400" s="5">
        <v>1449.66</v>
      </c>
      <c r="E400" s="6">
        <f t="shared" si="27"/>
        <v>4.2326209691385674E-3</v>
      </c>
      <c r="F400" s="7">
        <v>6.1100000000000002E-2</v>
      </c>
      <c r="G400" s="7">
        <f t="shared" si="24"/>
        <v>1.1411526562570273E-3</v>
      </c>
      <c r="H400" s="9">
        <f t="shared" si="25"/>
        <v>4.5588473437429729E-3</v>
      </c>
      <c r="I400" s="11">
        <f t="shared" si="26"/>
        <v>3.0914683128815401E-3</v>
      </c>
    </row>
    <row r="401" spans="1:9" x14ac:dyDescent="0.3">
      <c r="A401" s="1">
        <v>43065</v>
      </c>
      <c r="B401" s="5">
        <v>1775</v>
      </c>
      <c r="C401" s="3">
        <v>8.5000000000000006E-3</v>
      </c>
      <c r="D401" s="5">
        <v>1449.85</v>
      </c>
      <c r="E401" s="6">
        <f t="shared" si="27"/>
        <v>1.3106521529171467E-4</v>
      </c>
      <c r="F401" s="7">
        <v>6.1399999999999996E-2</v>
      </c>
      <c r="G401" s="7">
        <f t="shared" si="24"/>
        <v>1.1465951345421832E-3</v>
      </c>
      <c r="H401" s="9">
        <f t="shared" si="25"/>
        <v>7.3534048654578174E-3</v>
      </c>
      <c r="I401" s="11">
        <f t="shared" si="26"/>
        <v>-1.0155299192504685E-3</v>
      </c>
    </row>
    <row r="402" spans="1:9" x14ac:dyDescent="0.3">
      <c r="A402" s="1">
        <v>43072</v>
      </c>
      <c r="B402" s="5">
        <v>1780</v>
      </c>
      <c r="C402" s="3">
        <v>2.8E-3</v>
      </c>
      <c r="D402" s="5">
        <v>1449.35</v>
      </c>
      <c r="E402" s="6">
        <f t="shared" si="27"/>
        <v>-3.4486326171667692E-4</v>
      </c>
      <c r="F402" s="7">
        <v>6.1600000000000002E-2</v>
      </c>
      <c r="G402" s="7">
        <f t="shared" si="24"/>
        <v>1.1502226152910744E-3</v>
      </c>
      <c r="H402" s="9">
        <f t="shared" si="25"/>
        <v>1.6497773847089256E-3</v>
      </c>
      <c r="I402" s="11">
        <f t="shared" si="26"/>
        <v>-1.4950858770077513E-3</v>
      </c>
    </row>
    <row r="403" spans="1:9" x14ac:dyDescent="0.3">
      <c r="A403" s="1">
        <v>43079</v>
      </c>
      <c r="B403" s="5">
        <v>1935</v>
      </c>
      <c r="C403" s="3">
        <v>8.7099999999999997E-2</v>
      </c>
      <c r="D403" s="5">
        <v>1465.02</v>
      </c>
      <c r="E403" s="6">
        <f t="shared" si="27"/>
        <v>1.0811743195225487E-2</v>
      </c>
      <c r="F403" s="7">
        <v>6.1799999999999994E-2</v>
      </c>
      <c r="G403" s="7">
        <f t="shared" si="24"/>
        <v>1.153849425845177E-3</v>
      </c>
      <c r="H403" s="9">
        <f t="shared" si="25"/>
        <v>8.594615057415482E-2</v>
      </c>
      <c r="I403" s="11">
        <f t="shared" si="26"/>
        <v>9.6578937693803102E-3</v>
      </c>
    </row>
    <row r="404" spans="1:9" x14ac:dyDescent="0.3">
      <c r="A404" s="1">
        <v>43086</v>
      </c>
      <c r="B404" s="5">
        <v>2025</v>
      </c>
      <c r="C404" s="3">
        <v>4.65E-2</v>
      </c>
      <c r="D404" s="5">
        <v>1493.93</v>
      </c>
      <c r="E404" s="6">
        <f t="shared" si="27"/>
        <v>1.9733518996327692E-2</v>
      </c>
      <c r="F404" s="7">
        <v>6.1399999999999996E-2</v>
      </c>
      <c r="G404" s="7">
        <f t="shared" si="24"/>
        <v>1.1465951345421832E-3</v>
      </c>
      <c r="H404" s="9">
        <f t="shared" si="25"/>
        <v>4.5353404865457816E-2</v>
      </c>
      <c r="I404" s="11">
        <f t="shared" si="26"/>
        <v>1.8586923861785509E-2</v>
      </c>
    </row>
    <row r="405" spans="1:9" x14ac:dyDescent="0.3">
      <c r="A405" s="1">
        <v>43093</v>
      </c>
      <c r="B405" s="5">
        <v>2210</v>
      </c>
      <c r="C405" s="3">
        <v>9.1399999999999995E-2</v>
      </c>
      <c r="D405" s="5">
        <v>1513.65</v>
      </c>
      <c r="E405" s="6">
        <f t="shared" si="27"/>
        <v>1.3200083002550267E-2</v>
      </c>
      <c r="F405" s="7">
        <v>6.164E-2</v>
      </c>
      <c r="G405" s="7">
        <f t="shared" si="24"/>
        <v>1.1509480310094578E-3</v>
      </c>
      <c r="H405" s="9">
        <f t="shared" si="25"/>
        <v>9.0249051968990537E-2</v>
      </c>
      <c r="I405" s="11">
        <f t="shared" si="26"/>
        <v>1.2049134971540809E-2</v>
      </c>
    </row>
    <row r="406" spans="1:9" x14ac:dyDescent="0.3">
      <c r="A406" s="1">
        <v>43100</v>
      </c>
      <c r="B406" s="5">
        <v>2500</v>
      </c>
      <c r="C406" s="3">
        <v>0.13120000000000001</v>
      </c>
      <c r="D406" s="5">
        <v>1545.57</v>
      </c>
      <c r="E406" s="6">
        <f t="shared" si="27"/>
        <v>2.1088098305420466E-2</v>
      </c>
      <c r="F406" s="7">
        <v>6.1799999999999994E-2</v>
      </c>
      <c r="G406" s="7">
        <f t="shared" si="24"/>
        <v>1.153849425845177E-3</v>
      </c>
      <c r="H406" s="9">
        <f t="shared" si="25"/>
        <v>0.13004615057415483</v>
      </c>
      <c r="I406" s="11">
        <f t="shared" si="26"/>
        <v>1.9934248879575289E-2</v>
      </c>
    </row>
    <row r="407" spans="1:9" x14ac:dyDescent="0.3">
      <c r="A407" s="1">
        <v>43107</v>
      </c>
      <c r="B407" s="5">
        <v>2375</v>
      </c>
      <c r="C407" s="3">
        <v>-0.05</v>
      </c>
      <c r="D407" s="5">
        <v>1521.41</v>
      </c>
      <c r="E407" s="6">
        <f t="shared" si="27"/>
        <v>-1.5631773391046599E-2</v>
      </c>
      <c r="F407" s="7">
        <v>6.2100000000000002E-2</v>
      </c>
      <c r="G407" s="7">
        <f t="shared" si="24"/>
        <v>1.1592883856084146E-3</v>
      </c>
      <c r="H407" s="9">
        <f t="shared" si="25"/>
        <v>-5.1159288385608417E-2</v>
      </c>
      <c r="I407" s="11">
        <f t="shared" si="26"/>
        <v>-1.6791061776655014E-2</v>
      </c>
    </row>
    <row r="408" spans="1:9" x14ac:dyDescent="0.3">
      <c r="A408" s="1">
        <v>43114</v>
      </c>
      <c r="B408" s="5">
        <v>2465</v>
      </c>
      <c r="C408" s="3">
        <v>3.7900000000000003E-2</v>
      </c>
      <c r="D408" s="5">
        <v>1551.04</v>
      </c>
      <c r="E408" s="6">
        <f t="shared" si="27"/>
        <v>1.9475355098231173E-2</v>
      </c>
      <c r="F408" s="7">
        <v>6.2600000000000003E-2</v>
      </c>
      <c r="G408" s="7">
        <f t="shared" si="24"/>
        <v>1.1683499711141465E-3</v>
      </c>
      <c r="H408" s="9">
        <f t="shared" si="25"/>
        <v>3.6731650028885857E-2</v>
      </c>
      <c r="I408" s="11">
        <f t="shared" si="26"/>
        <v>1.8307005127117026E-2</v>
      </c>
    </row>
    <row r="409" spans="1:9" x14ac:dyDescent="0.3">
      <c r="A409" s="1">
        <v>43121</v>
      </c>
      <c r="B409" s="5">
        <v>2760</v>
      </c>
      <c r="C409" s="3">
        <v>0.1197</v>
      </c>
      <c r="D409" s="5">
        <v>1592.82</v>
      </c>
      <c r="E409" s="6">
        <f t="shared" si="27"/>
        <v>2.6936765009283992E-2</v>
      </c>
      <c r="F409" s="7">
        <v>6.2300000000000001E-2</v>
      </c>
      <c r="G409" s="7">
        <f t="shared" si="24"/>
        <v>1.1629135217694486E-3</v>
      </c>
      <c r="H409" s="9">
        <f t="shared" si="25"/>
        <v>0.11853708647823055</v>
      </c>
      <c r="I409" s="11">
        <f t="shared" si="26"/>
        <v>2.5773851487514543E-2</v>
      </c>
    </row>
    <row r="410" spans="1:9" x14ac:dyDescent="0.3">
      <c r="A410" s="1">
        <v>43128</v>
      </c>
      <c r="B410" s="5">
        <v>2665</v>
      </c>
      <c r="C410" s="3">
        <v>-3.44E-2</v>
      </c>
      <c r="D410" s="5">
        <v>1567.74</v>
      </c>
      <c r="E410" s="6">
        <f t="shared" si="27"/>
        <v>-1.5745658643161131E-2</v>
      </c>
      <c r="F410" s="7">
        <v>6.2400000000000004E-2</v>
      </c>
      <c r="G410" s="7">
        <f t="shared" si="24"/>
        <v>1.1647258388394199E-3</v>
      </c>
      <c r="H410" s="9">
        <f t="shared" si="25"/>
        <v>-3.556472583883942E-2</v>
      </c>
      <c r="I410" s="11">
        <f t="shared" si="26"/>
        <v>-1.6910384482000551E-2</v>
      </c>
    </row>
    <row r="411" spans="1:9" x14ac:dyDescent="0.3">
      <c r="A411" s="1">
        <v>43135</v>
      </c>
      <c r="B411" s="5">
        <v>2445</v>
      </c>
      <c r="C411" s="3">
        <v>-8.2600000000000007E-2</v>
      </c>
      <c r="D411" s="5">
        <v>1500.99</v>
      </c>
      <c r="E411" s="6">
        <f t="shared" si="27"/>
        <v>-4.2577213058287766E-2</v>
      </c>
      <c r="F411" s="7">
        <v>6.2E-2</v>
      </c>
      <c r="G411" s="7">
        <f t="shared" si="24"/>
        <v>1.1574755664547354E-3</v>
      </c>
      <c r="H411" s="9">
        <f t="shared" si="25"/>
        <v>-8.3757475566454742E-2</v>
      </c>
      <c r="I411" s="11">
        <f t="shared" si="26"/>
        <v>-4.3734688624742502E-2</v>
      </c>
    </row>
    <row r="412" spans="1:9" x14ac:dyDescent="0.3">
      <c r="A412" s="1">
        <v>43142</v>
      </c>
      <c r="B412" s="5">
        <v>2485</v>
      </c>
      <c r="C412" s="3">
        <v>1.6400000000000001E-2</v>
      </c>
      <c r="D412" s="5">
        <v>1520.71</v>
      </c>
      <c r="E412" s="6">
        <f t="shared" si="27"/>
        <v>1.3137995589577622E-2</v>
      </c>
      <c r="F412" s="7">
        <v>6.2600000000000003E-2</v>
      </c>
      <c r="G412" s="7">
        <f t="shared" si="24"/>
        <v>1.1683499711141465E-3</v>
      </c>
      <c r="H412" s="9">
        <f t="shared" si="25"/>
        <v>1.5231650028885855E-2</v>
      </c>
      <c r="I412" s="11">
        <f t="shared" si="26"/>
        <v>1.1969645618463476E-2</v>
      </c>
    </row>
    <row r="413" spans="1:9" x14ac:dyDescent="0.3">
      <c r="A413" s="1">
        <v>43149</v>
      </c>
      <c r="B413" s="5">
        <v>2625</v>
      </c>
      <c r="C413" s="3">
        <v>5.6300000000000003E-2</v>
      </c>
      <c r="D413" s="5">
        <v>1532.6</v>
      </c>
      <c r="E413" s="6">
        <f t="shared" si="27"/>
        <v>7.8187162575376057E-3</v>
      </c>
      <c r="F413" s="7">
        <v>6.3099999999999989E-2</v>
      </c>
      <c r="G413" s="7">
        <f t="shared" si="24"/>
        <v>1.1774073757078174E-3</v>
      </c>
      <c r="H413" s="9">
        <f t="shared" si="25"/>
        <v>5.5122592624292185E-2</v>
      </c>
      <c r="I413" s="11">
        <f t="shared" si="26"/>
        <v>6.6413088818297883E-3</v>
      </c>
    </row>
    <row r="414" spans="1:9" x14ac:dyDescent="0.3">
      <c r="A414" s="1">
        <v>43156</v>
      </c>
      <c r="B414" s="5">
        <v>2480</v>
      </c>
      <c r="C414" s="3">
        <v>-5.5199999999999999E-2</v>
      </c>
      <c r="D414" s="5">
        <v>1456.38</v>
      </c>
      <c r="E414" s="6">
        <f t="shared" si="27"/>
        <v>-4.9732480751663699E-2</v>
      </c>
      <c r="F414" s="7">
        <v>6.3299999999999995E-2</v>
      </c>
      <c r="G414" s="7">
        <f t="shared" si="24"/>
        <v>1.1810291677623042E-3</v>
      </c>
      <c r="H414" s="9">
        <f t="shared" si="25"/>
        <v>-5.6381029167762303E-2</v>
      </c>
      <c r="I414" s="11">
        <f t="shared" si="26"/>
        <v>-5.0913509919426003E-2</v>
      </c>
    </row>
    <row r="415" spans="1:9" x14ac:dyDescent="0.3">
      <c r="A415" s="1">
        <v>43163</v>
      </c>
      <c r="B415" s="5">
        <v>2505</v>
      </c>
      <c r="C415" s="3">
        <v>1.01E-2</v>
      </c>
      <c r="D415" s="5">
        <v>1482.1</v>
      </c>
      <c r="E415" s="6">
        <f t="shared" si="27"/>
        <v>1.7660226039907023E-2</v>
      </c>
      <c r="F415" s="7">
        <v>6.3E-2</v>
      </c>
      <c r="G415" s="7">
        <f t="shared" si="24"/>
        <v>1.1755962290749267E-3</v>
      </c>
      <c r="H415" s="9">
        <f t="shared" si="25"/>
        <v>8.9244037709250729E-3</v>
      </c>
      <c r="I415" s="11">
        <f t="shared" si="26"/>
        <v>1.6484629810832097E-2</v>
      </c>
    </row>
    <row r="416" spans="1:9" x14ac:dyDescent="0.3">
      <c r="A416" s="1">
        <v>43170</v>
      </c>
      <c r="B416" s="5">
        <v>2590</v>
      </c>
      <c r="C416" s="3">
        <v>3.39E-2</v>
      </c>
      <c r="D416" s="5">
        <v>1475.75</v>
      </c>
      <c r="E416" s="6">
        <f t="shared" si="27"/>
        <v>-4.2844612374333124E-3</v>
      </c>
      <c r="F416" s="7">
        <v>6.2800000000000009E-2</v>
      </c>
      <c r="G416" s="7">
        <f t="shared" si="24"/>
        <v>1.1719734344428634E-3</v>
      </c>
      <c r="H416" s="9">
        <f t="shared" si="25"/>
        <v>3.2728026565557136E-2</v>
      </c>
      <c r="I416" s="11">
        <f t="shared" si="26"/>
        <v>-5.4564346718761758E-3</v>
      </c>
    </row>
    <row r="417" spans="1:9" x14ac:dyDescent="0.3">
      <c r="A417" s="1">
        <v>43177</v>
      </c>
      <c r="B417" s="5">
        <v>2700</v>
      </c>
      <c r="C417" s="3">
        <v>4.2500000000000003E-2</v>
      </c>
      <c r="D417" s="5">
        <v>1459.06</v>
      </c>
      <c r="E417" s="6">
        <f t="shared" si="27"/>
        <v>-1.1309503642215835E-2</v>
      </c>
      <c r="F417" s="7">
        <v>6.3799999999999996E-2</v>
      </c>
      <c r="G417" s="7">
        <f t="shared" si="24"/>
        <v>1.1900807256199908E-3</v>
      </c>
      <c r="H417" s="9">
        <f t="shared" si="25"/>
        <v>4.1309919274380012E-2</v>
      </c>
      <c r="I417" s="11">
        <f t="shared" si="26"/>
        <v>-1.2499584367835825E-2</v>
      </c>
    </row>
    <row r="418" spans="1:9" x14ac:dyDescent="0.3">
      <c r="A418" s="1">
        <v>43184</v>
      </c>
      <c r="B418" s="5">
        <v>2615</v>
      </c>
      <c r="C418" s="3">
        <v>-3.15E-2</v>
      </c>
      <c r="D418" s="5">
        <v>1455.52</v>
      </c>
      <c r="E418" s="6">
        <f t="shared" si="27"/>
        <v>-2.4262196208517661E-3</v>
      </c>
      <c r="F418" s="7">
        <v>6.4600000000000005E-2</v>
      </c>
      <c r="G418" s="7">
        <f t="shared" si="24"/>
        <v>1.204554542929559E-3</v>
      </c>
      <c r="H418" s="9">
        <f t="shared" si="25"/>
        <v>-3.2704554542929559E-2</v>
      </c>
      <c r="I418" s="11">
        <f t="shared" si="26"/>
        <v>-3.6307741637813251E-3</v>
      </c>
    </row>
    <row r="419" spans="1:9" x14ac:dyDescent="0.3">
      <c r="A419" s="1">
        <v>43191</v>
      </c>
      <c r="B419" s="5">
        <v>2730</v>
      </c>
      <c r="C419" s="3">
        <v>4.3999999999999997E-2</v>
      </c>
      <c r="D419" s="5">
        <v>1520.76</v>
      </c>
      <c r="E419" s="6">
        <f t="shared" si="27"/>
        <v>4.4822468945806326E-2</v>
      </c>
      <c r="F419" s="7">
        <v>6.361E-2</v>
      </c>
      <c r="G419" s="7">
        <f t="shared" si="24"/>
        <v>1.1866416252561685E-3</v>
      </c>
      <c r="H419" s="9">
        <f t="shared" si="25"/>
        <v>4.2813358374743829E-2</v>
      </c>
      <c r="I419" s="11">
        <f t="shared" si="26"/>
        <v>4.3635827320550158E-2</v>
      </c>
    </row>
    <row r="420" spans="1:9" x14ac:dyDescent="0.3">
      <c r="A420" s="1">
        <v>43198</v>
      </c>
      <c r="B420" s="5">
        <v>2835</v>
      </c>
      <c r="C420" s="3">
        <v>3.85E-2</v>
      </c>
      <c r="D420" s="5">
        <v>1538.44</v>
      </c>
      <c r="E420" s="6">
        <f t="shared" si="27"/>
        <v>1.1625766064336185E-2</v>
      </c>
      <c r="F420" s="7">
        <v>6.5000000000000002E-2</v>
      </c>
      <c r="G420" s="7">
        <f t="shared" si="24"/>
        <v>1.2117874518382532E-3</v>
      </c>
      <c r="H420" s="9">
        <f t="shared" si="25"/>
        <v>3.7288212548161746E-2</v>
      </c>
      <c r="I420" s="11">
        <f t="shared" si="26"/>
        <v>1.0413978612497932E-2</v>
      </c>
    </row>
    <row r="421" spans="1:9" x14ac:dyDescent="0.3">
      <c r="A421" s="1">
        <v>43205</v>
      </c>
      <c r="B421" s="5">
        <v>3030</v>
      </c>
      <c r="C421" s="3">
        <v>6.88E-2</v>
      </c>
      <c r="D421" s="5">
        <v>1561.45</v>
      </c>
      <c r="E421" s="6">
        <f t="shared" si="27"/>
        <v>1.4956709393931567E-2</v>
      </c>
      <c r="F421" s="7">
        <v>6.4450000000000007E-2</v>
      </c>
      <c r="G421" s="7">
        <f t="shared" si="24"/>
        <v>1.2018415149097628E-3</v>
      </c>
      <c r="H421" s="9">
        <f t="shared" si="25"/>
        <v>6.7598158485090237E-2</v>
      </c>
      <c r="I421" s="11">
        <f t="shared" si="26"/>
        <v>1.3754867879021804E-2</v>
      </c>
    </row>
    <row r="422" spans="1:9" x14ac:dyDescent="0.3">
      <c r="A422" s="1">
        <v>43212</v>
      </c>
      <c r="B422" s="5">
        <v>3070</v>
      </c>
      <c r="C422" s="3">
        <v>1.32E-2</v>
      </c>
      <c r="D422" s="5">
        <v>1566.45</v>
      </c>
      <c r="E422" s="6">
        <f t="shared" si="27"/>
        <v>3.2021518460405574E-3</v>
      </c>
      <c r="F422" s="7">
        <v>6.4899999999999999E-2</v>
      </c>
      <c r="G422" s="7">
        <f t="shared" si="24"/>
        <v>1.2099794744246939E-3</v>
      </c>
      <c r="H422" s="9">
        <f t="shared" si="25"/>
        <v>1.1990020525575306E-2</v>
      </c>
      <c r="I422" s="11">
        <f t="shared" si="26"/>
        <v>1.9921723716158635E-3</v>
      </c>
    </row>
    <row r="423" spans="1:9" x14ac:dyDescent="0.3">
      <c r="A423" s="1">
        <v>43219</v>
      </c>
      <c r="B423" s="5">
        <v>3095</v>
      </c>
      <c r="C423" s="3">
        <v>8.0999999999999996E-3</v>
      </c>
      <c r="D423" s="5">
        <v>1547.04</v>
      </c>
      <c r="E423" s="6">
        <f t="shared" si="27"/>
        <v>-1.2391075361486203E-2</v>
      </c>
      <c r="F423" s="7">
        <v>6.4100000000000004E-2</v>
      </c>
      <c r="G423" s="7">
        <f t="shared" si="24"/>
        <v>1.195509657729632E-3</v>
      </c>
      <c r="H423" s="9">
        <f t="shared" si="25"/>
        <v>6.9044903422703675E-3</v>
      </c>
      <c r="I423" s="11">
        <f t="shared" si="26"/>
        <v>-1.3586585019215836E-2</v>
      </c>
    </row>
    <row r="424" spans="1:9" x14ac:dyDescent="0.3">
      <c r="A424" s="1">
        <v>43226</v>
      </c>
      <c r="B424" s="5">
        <v>3135</v>
      </c>
      <c r="C424" s="3">
        <v>1.29E-2</v>
      </c>
      <c r="D424" s="5">
        <v>1550.08</v>
      </c>
      <c r="E424" s="6">
        <f t="shared" si="27"/>
        <v>1.9650429206743425E-3</v>
      </c>
      <c r="F424" s="7">
        <v>6.3750000000000001E-2</v>
      </c>
      <c r="G424" s="7">
        <f t="shared" si="24"/>
        <v>1.1891757576192319E-3</v>
      </c>
      <c r="H424" s="9">
        <f t="shared" si="25"/>
        <v>1.1710824242380768E-2</v>
      </c>
      <c r="I424" s="11">
        <f t="shared" si="26"/>
        <v>7.7586716305511061E-4</v>
      </c>
    </row>
    <row r="425" spans="1:9" x14ac:dyDescent="0.3">
      <c r="A425" s="1">
        <v>43233</v>
      </c>
      <c r="B425" s="5">
        <v>3150</v>
      </c>
      <c r="C425" s="3">
        <v>4.7999999999999996E-3</v>
      </c>
      <c r="D425" s="5">
        <v>1520.52</v>
      </c>
      <c r="E425" s="6">
        <f t="shared" si="27"/>
        <v>-1.906998348472333E-2</v>
      </c>
      <c r="F425" s="7">
        <v>6.3250000000000001E-2</v>
      </c>
      <c r="G425" s="7">
        <f t="shared" si="24"/>
        <v>1.1801237823902966E-3</v>
      </c>
      <c r="H425" s="9">
        <f t="shared" si="25"/>
        <v>3.619876217609703E-3</v>
      </c>
      <c r="I425" s="11">
        <f t="shared" si="26"/>
        <v>-2.0250107267113626E-2</v>
      </c>
    </row>
    <row r="426" spans="1:9" x14ac:dyDescent="0.3">
      <c r="A426" s="1">
        <v>43240</v>
      </c>
      <c r="B426" s="5">
        <v>2955</v>
      </c>
      <c r="C426" s="3">
        <v>-6.1899999999999997E-2</v>
      </c>
      <c r="D426" s="5">
        <v>1526.36</v>
      </c>
      <c r="E426" s="6">
        <f t="shared" si="27"/>
        <v>3.8407913082365575E-3</v>
      </c>
      <c r="F426" s="7">
        <v>6.25E-2</v>
      </c>
      <c r="G426" s="7">
        <f t="shared" si="24"/>
        <v>1.1665379886105498E-3</v>
      </c>
      <c r="H426" s="9">
        <f t="shared" si="25"/>
        <v>-6.3066537988610546E-2</v>
      </c>
      <c r="I426" s="11">
        <f t="shared" si="26"/>
        <v>2.6742533196260077E-3</v>
      </c>
    </row>
    <row r="427" spans="1:9" x14ac:dyDescent="0.3">
      <c r="A427" s="1">
        <v>43247</v>
      </c>
      <c r="B427" s="5">
        <v>3110</v>
      </c>
      <c r="C427" s="3">
        <v>5.2499999999999998E-2</v>
      </c>
      <c r="D427" s="5">
        <v>1564.47</v>
      </c>
      <c r="E427" s="6">
        <f t="shared" si="27"/>
        <v>2.496789748159034E-2</v>
      </c>
      <c r="F427" s="7">
        <v>6.2220000000000004E-2</v>
      </c>
      <c r="G427" s="7">
        <f t="shared" si="24"/>
        <v>1.1614635476373536E-3</v>
      </c>
      <c r="H427" s="9">
        <f t="shared" si="25"/>
        <v>5.1338536452362644E-2</v>
      </c>
      <c r="I427" s="11">
        <f t="shared" si="26"/>
        <v>2.3806433933952986E-2</v>
      </c>
    </row>
    <row r="428" spans="1:9" x14ac:dyDescent="0.3">
      <c r="A428" s="1">
        <v>43254</v>
      </c>
      <c r="B428" s="5">
        <v>3045</v>
      </c>
      <c r="C428" s="3">
        <v>-2.0899999999999998E-2</v>
      </c>
      <c r="D428" s="5">
        <v>1547.96</v>
      </c>
      <c r="E428" s="6">
        <f t="shared" si="27"/>
        <v>-1.0553094658254825E-2</v>
      </c>
      <c r="F428" s="7">
        <v>6.1200000000000004E-2</v>
      </c>
      <c r="G428" s="7">
        <f t="shared" si="24"/>
        <v>1.1429669833489253E-3</v>
      </c>
      <c r="H428" s="9">
        <f t="shared" si="25"/>
        <v>-2.2042966983348924E-2</v>
      </c>
      <c r="I428" s="11">
        <f t="shared" si="26"/>
        <v>-1.169606164160375E-2</v>
      </c>
    </row>
    <row r="429" spans="1:9" x14ac:dyDescent="0.3">
      <c r="A429" s="1">
        <v>43261</v>
      </c>
      <c r="B429" s="5">
        <v>2960</v>
      </c>
      <c r="C429" s="3">
        <v>-2.7900000000000001E-2</v>
      </c>
      <c r="D429" s="5">
        <v>1541.23</v>
      </c>
      <c r="E429" s="6">
        <f t="shared" si="27"/>
        <v>-4.3476575622108937E-3</v>
      </c>
      <c r="F429" s="7">
        <v>6.1399999999999996E-2</v>
      </c>
      <c r="G429" s="7">
        <f t="shared" si="24"/>
        <v>1.1465951345421832E-3</v>
      </c>
      <c r="H429" s="9">
        <f t="shared" si="25"/>
        <v>-2.9046595134542184E-2</v>
      </c>
      <c r="I429" s="11">
        <f t="shared" si="26"/>
        <v>-5.4942526967530769E-3</v>
      </c>
    </row>
    <row r="430" spans="1:9" x14ac:dyDescent="0.3">
      <c r="A430" s="1">
        <v>43268</v>
      </c>
      <c r="B430" s="5">
        <v>2880</v>
      </c>
      <c r="C430" s="3">
        <v>-2.7E-2</v>
      </c>
      <c r="D430" s="5">
        <v>1522.79</v>
      </c>
      <c r="E430" s="6">
        <f t="shared" si="27"/>
        <v>-1.1964469936349587E-2</v>
      </c>
      <c r="F430" s="7">
        <v>6.1740000000000003E-2</v>
      </c>
      <c r="G430" s="7">
        <f t="shared" si="24"/>
        <v>1.1527614530344454E-3</v>
      </c>
      <c r="H430" s="9">
        <f t="shared" si="25"/>
        <v>-2.8152761453034445E-2</v>
      </c>
      <c r="I430" s="11">
        <f t="shared" si="26"/>
        <v>-1.3117231389384032E-2</v>
      </c>
    </row>
    <row r="431" spans="1:9" x14ac:dyDescent="0.3">
      <c r="A431" s="1">
        <v>43275</v>
      </c>
      <c r="B431" s="5">
        <v>3025</v>
      </c>
      <c r="C431" s="3">
        <v>5.0299999999999997E-2</v>
      </c>
      <c r="D431" s="5">
        <v>1577.01</v>
      </c>
      <c r="E431" s="6">
        <f t="shared" si="27"/>
        <v>3.5605697436941419E-2</v>
      </c>
      <c r="F431" s="7">
        <v>6.1200000000000004E-2</v>
      </c>
      <c r="G431" s="7">
        <f t="shared" si="24"/>
        <v>1.1429669833489253E-3</v>
      </c>
      <c r="H431" s="9">
        <f t="shared" si="25"/>
        <v>4.9157033016651072E-2</v>
      </c>
      <c r="I431" s="11">
        <f t="shared" si="26"/>
        <v>3.4462730453592494E-2</v>
      </c>
    </row>
    <row r="432" spans="1:9" x14ac:dyDescent="0.3">
      <c r="A432" s="1">
        <v>43282</v>
      </c>
      <c r="B432" s="5">
        <v>2935</v>
      </c>
      <c r="C432" s="3">
        <v>-2.98E-2</v>
      </c>
      <c r="D432" s="5">
        <v>1557.59</v>
      </c>
      <c r="E432" s="6">
        <f t="shared" si="27"/>
        <v>-1.2314443155084676E-2</v>
      </c>
      <c r="F432" s="7">
        <v>6.1600000000000002E-2</v>
      </c>
      <c r="G432" s="7">
        <f t="shared" si="24"/>
        <v>1.1502226152910744E-3</v>
      </c>
      <c r="H432" s="9">
        <f t="shared" si="25"/>
        <v>-3.0950222615291074E-2</v>
      </c>
      <c r="I432" s="11">
        <f t="shared" si="26"/>
        <v>-1.346466577037575E-2</v>
      </c>
    </row>
    <row r="433" spans="1:9" x14ac:dyDescent="0.3">
      <c r="A433" s="1">
        <v>43289</v>
      </c>
      <c r="B433" s="5">
        <v>2965</v>
      </c>
      <c r="C433" s="3">
        <v>1.0200000000000001E-2</v>
      </c>
      <c r="D433" s="5">
        <v>1546.75</v>
      </c>
      <c r="E433" s="6">
        <f t="shared" si="27"/>
        <v>-6.9594694367580701E-3</v>
      </c>
      <c r="F433" s="7">
        <v>6.1669999999999996E-2</v>
      </c>
      <c r="G433" s="7">
        <f t="shared" si="24"/>
        <v>1.1514920752067059E-3</v>
      </c>
      <c r="H433" s="9">
        <f t="shared" si="25"/>
        <v>9.0485079247932948E-3</v>
      </c>
      <c r="I433" s="11">
        <f t="shared" si="26"/>
        <v>-8.110961511964776E-3</v>
      </c>
    </row>
    <row r="434" spans="1:9" x14ac:dyDescent="0.3">
      <c r="A434" s="1">
        <v>43296</v>
      </c>
      <c r="B434" s="5">
        <v>2950</v>
      </c>
      <c r="C434" s="3">
        <v>-5.1000000000000004E-3</v>
      </c>
      <c r="D434" s="5">
        <v>1547.34</v>
      </c>
      <c r="E434" s="6">
        <f t="shared" si="27"/>
        <v>3.8144496524972205E-4</v>
      </c>
      <c r="F434" s="7">
        <v>6.0299999999999999E-2</v>
      </c>
      <c r="G434" s="7">
        <f t="shared" si="24"/>
        <v>1.1266319995097973E-3</v>
      </c>
      <c r="H434" s="9">
        <f t="shared" si="25"/>
        <v>-6.2266319995097977E-3</v>
      </c>
      <c r="I434" s="11">
        <f t="shared" si="26"/>
        <v>-7.4518703426007527E-4</v>
      </c>
    </row>
    <row r="435" spans="1:9" x14ac:dyDescent="0.3">
      <c r="A435" s="1">
        <v>43303</v>
      </c>
      <c r="B435" s="5">
        <v>2985</v>
      </c>
      <c r="C435" s="3">
        <v>1.1900000000000001E-2</v>
      </c>
      <c r="D435" s="5">
        <v>1536.13</v>
      </c>
      <c r="E435" s="6">
        <f t="shared" si="27"/>
        <v>-7.2446908888801342E-3</v>
      </c>
      <c r="F435" s="7">
        <v>6.0080000000000001E-2</v>
      </c>
      <c r="G435" s="7">
        <f t="shared" si="24"/>
        <v>1.1226369351204912E-3</v>
      </c>
      <c r="H435" s="9">
        <f t="shared" si="25"/>
        <v>1.077736306487951E-2</v>
      </c>
      <c r="I435" s="11">
        <f t="shared" si="26"/>
        <v>-8.3673278240006255E-3</v>
      </c>
    </row>
    <row r="436" spans="1:9" x14ac:dyDescent="0.3">
      <c r="A436" s="1">
        <v>43310</v>
      </c>
      <c r="B436" s="5">
        <v>3095</v>
      </c>
      <c r="C436" s="3">
        <v>3.6900000000000002E-2</v>
      </c>
      <c r="D436" s="5">
        <v>1531.96</v>
      </c>
      <c r="E436" s="6">
        <f t="shared" si="27"/>
        <v>-2.714613997513271E-3</v>
      </c>
      <c r="F436" s="7">
        <v>5.9650000000000002E-2</v>
      </c>
      <c r="G436" s="7">
        <f t="shared" si="24"/>
        <v>1.1148260517235276E-3</v>
      </c>
      <c r="H436" s="9">
        <f t="shared" si="25"/>
        <v>3.5785173948276475E-2</v>
      </c>
      <c r="I436" s="11">
        <f t="shared" si="26"/>
        <v>-3.8294400492367986E-3</v>
      </c>
    </row>
    <row r="437" spans="1:9" x14ac:dyDescent="0.3">
      <c r="A437" s="1">
        <v>43317</v>
      </c>
      <c r="B437" s="5">
        <v>3070</v>
      </c>
      <c r="C437" s="3">
        <v>-8.0999999999999996E-3</v>
      </c>
      <c r="D437" s="5">
        <v>1524.96</v>
      </c>
      <c r="E437" s="6">
        <f t="shared" si="27"/>
        <v>-4.5693099036527851E-3</v>
      </c>
      <c r="F437" s="7">
        <v>5.9699999999999996E-2</v>
      </c>
      <c r="G437" s="7">
        <f t="shared" si="24"/>
        <v>1.1157344536831815E-3</v>
      </c>
      <c r="H437" s="9">
        <f t="shared" si="25"/>
        <v>-9.215734453683181E-3</v>
      </c>
      <c r="I437" s="11">
        <f t="shared" si="26"/>
        <v>-5.6850443573359666E-3</v>
      </c>
    </row>
    <row r="438" spans="1:9" x14ac:dyDescent="0.3">
      <c r="A438" s="1">
        <v>43324</v>
      </c>
      <c r="B438" s="5">
        <v>3095</v>
      </c>
      <c r="C438" s="3">
        <v>8.0999999999999996E-3</v>
      </c>
      <c r="D438" s="5">
        <v>1528.58</v>
      </c>
      <c r="E438" s="6">
        <f t="shared" si="27"/>
        <v>2.373832756269012E-3</v>
      </c>
      <c r="F438" s="7">
        <v>0.06</v>
      </c>
      <c r="G438" s="7">
        <f t="shared" si="24"/>
        <v>1.1211839828213499E-3</v>
      </c>
      <c r="H438" s="9">
        <f t="shared" si="25"/>
        <v>6.9788160171786497E-3</v>
      </c>
      <c r="I438" s="11">
        <f t="shared" si="26"/>
        <v>1.2526487734476621E-3</v>
      </c>
    </row>
    <row r="439" spans="1:9" x14ac:dyDescent="0.3">
      <c r="A439" s="1">
        <v>43331</v>
      </c>
      <c r="B439" s="5">
        <v>3270</v>
      </c>
      <c r="C439" s="3">
        <v>5.6500000000000002E-2</v>
      </c>
      <c r="D439" s="5">
        <v>1538.7</v>
      </c>
      <c r="E439" s="6">
        <f t="shared" si="27"/>
        <v>6.6205236232321774E-3</v>
      </c>
      <c r="F439" s="7">
        <v>5.8639999999999998E-2</v>
      </c>
      <c r="G439" s="7">
        <f t="shared" si="24"/>
        <v>1.0964673251498969E-3</v>
      </c>
      <c r="H439" s="9">
        <f t="shared" si="25"/>
        <v>5.5403532674850105E-2</v>
      </c>
      <c r="I439" s="11">
        <f t="shared" si="26"/>
        <v>5.5240562980822805E-3</v>
      </c>
    </row>
    <row r="440" spans="1:9" x14ac:dyDescent="0.3">
      <c r="A440" s="1">
        <v>43338</v>
      </c>
      <c r="B440" s="5">
        <v>3420</v>
      </c>
      <c r="C440" s="3">
        <v>4.5900000000000003E-2</v>
      </c>
      <c r="D440" s="5">
        <v>1542.77</v>
      </c>
      <c r="E440" s="6">
        <f t="shared" si="27"/>
        <v>2.645090011048179E-3</v>
      </c>
      <c r="F440" s="7">
        <v>5.7939999999999998E-2</v>
      </c>
      <c r="G440" s="7">
        <f t="shared" si="24"/>
        <v>1.0837333737940824E-3</v>
      </c>
      <c r="H440" s="9">
        <f t="shared" si="25"/>
        <v>4.4816266626205921E-2</v>
      </c>
      <c r="I440" s="11">
        <f t="shared" si="26"/>
        <v>1.5613566372540966E-3</v>
      </c>
    </row>
    <row r="441" spans="1:9" x14ac:dyDescent="0.3">
      <c r="A441" s="1">
        <v>43345</v>
      </c>
      <c r="B441" s="5">
        <v>3410</v>
      </c>
      <c r="C441" s="3">
        <v>-2.8999999999999998E-3</v>
      </c>
      <c r="D441" s="5">
        <v>1475.9</v>
      </c>
      <c r="E441" s="6">
        <f t="shared" si="27"/>
        <v>-4.3344114806484368E-2</v>
      </c>
      <c r="F441" s="7">
        <v>5.7050000000000003E-2</v>
      </c>
      <c r="G441" s="7">
        <f t="shared" si="24"/>
        <v>1.0675311265153642E-3</v>
      </c>
      <c r="H441" s="9">
        <f t="shared" si="25"/>
        <v>-3.967531126515364E-3</v>
      </c>
      <c r="I441" s="11">
        <f t="shared" si="26"/>
        <v>-4.4411645932999733E-2</v>
      </c>
    </row>
    <row r="442" spans="1:9" x14ac:dyDescent="0.3">
      <c r="A442" s="1">
        <v>43352</v>
      </c>
      <c r="B442" s="5">
        <v>3790</v>
      </c>
      <c r="C442" s="3">
        <v>0.1114</v>
      </c>
      <c r="D442" s="5">
        <v>1498.21</v>
      </c>
      <c r="E442" s="6">
        <f t="shared" si="27"/>
        <v>1.5116200284572168E-2</v>
      </c>
      <c r="F442" s="7">
        <v>5.74E-2</v>
      </c>
      <c r="G442" s="7">
        <f t="shared" si="24"/>
        <v>1.0739043924203884E-3</v>
      </c>
      <c r="H442" s="9">
        <f t="shared" si="25"/>
        <v>0.11032609560757961</v>
      </c>
      <c r="I442" s="11">
        <f t="shared" si="26"/>
        <v>1.4042295892151779E-2</v>
      </c>
    </row>
    <row r="443" spans="1:9" x14ac:dyDescent="0.3">
      <c r="A443" s="1">
        <v>43359</v>
      </c>
      <c r="B443" s="5">
        <v>3680</v>
      </c>
      <c r="C443" s="3">
        <v>-2.9000000000000001E-2</v>
      </c>
      <c r="D443" s="5">
        <v>1482.99</v>
      </c>
      <c r="E443" s="6">
        <f t="shared" si="27"/>
        <v>-1.015878948879001E-2</v>
      </c>
      <c r="F443" s="7">
        <v>5.7729999999999997E-2</v>
      </c>
      <c r="G443" s="7">
        <f t="shared" si="24"/>
        <v>1.0799115769635215E-3</v>
      </c>
      <c r="H443" s="9">
        <f t="shared" si="25"/>
        <v>-3.0079911576963523E-2</v>
      </c>
      <c r="I443" s="11">
        <f t="shared" si="26"/>
        <v>-1.1238701065753531E-2</v>
      </c>
    </row>
    <row r="444" spans="1:9" x14ac:dyDescent="0.3">
      <c r="A444" s="1">
        <v>43366</v>
      </c>
      <c r="B444" s="5">
        <v>4030</v>
      </c>
      <c r="C444" s="3">
        <v>9.5100000000000004E-2</v>
      </c>
      <c r="D444" s="5">
        <v>1506.07</v>
      </c>
      <c r="E444" s="6">
        <f t="shared" si="27"/>
        <v>1.5563152819641379E-2</v>
      </c>
      <c r="F444" s="7">
        <v>5.7099999999999998E-2</v>
      </c>
      <c r="G444" s="7">
        <f t="shared" si="24"/>
        <v>1.0684417197766027E-3</v>
      </c>
      <c r="H444" s="9">
        <f t="shared" si="25"/>
        <v>9.4031558280223401E-2</v>
      </c>
      <c r="I444" s="11">
        <f t="shared" si="26"/>
        <v>1.4494711099864777E-2</v>
      </c>
    </row>
    <row r="445" spans="1:9" x14ac:dyDescent="0.3">
      <c r="A445" s="1">
        <v>43373</v>
      </c>
      <c r="B445" s="5">
        <v>4015</v>
      </c>
      <c r="C445" s="3">
        <v>-3.7000000000000002E-3</v>
      </c>
      <c r="D445" s="5">
        <v>1494.99</v>
      </c>
      <c r="E445" s="6">
        <f t="shared" si="27"/>
        <v>-7.3568957618170838E-3</v>
      </c>
      <c r="F445" s="7">
        <v>5.7249999999999995E-2</v>
      </c>
      <c r="G445" s="7">
        <f t="shared" si="24"/>
        <v>1.0711732461299306E-3</v>
      </c>
      <c r="H445" s="9">
        <f t="shared" si="25"/>
        <v>-4.7711732461299308E-3</v>
      </c>
      <c r="I445" s="11">
        <f t="shared" si="26"/>
        <v>-8.4280690079470144E-3</v>
      </c>
    </row>
    <row r="446" spans="1:9" x14ac:dyDescent="0.3">
      <c r="A446" s="1">
        <v>43380</v>
      </c>
      <c r="B446" s="5">
        <v>3950</v>
      </c>
      <c r="C446" s="3">
        <v>-1.6199999999999999E-2</v>
      </c>
      <c r="D446" s="5">
        <v>1462.71</v>
      </c>
      <c r="E446" s="6">
        <f t="shared" si="27"/>
        <v>-2.1592117673027933E-2</v>
      </c>
      <c r="F446" s="7">
        <v>5.8410000000000004E-2</v>
      </c>
      <c r="G446" s="7">
        <f t="shared" si="24"/>
        <v>1.0922842237128805E-3</v>
      </c>
      <c r="H446" s="9">
        <f t="shared" si="25"/>
        <v>-1.729228422371288E-2</v>
      </c>
      <c r="I446" s="11">
        <f t="shared" si="26"/>
        <v>-2.2684401896740813E-2</v>
      </c>
    </row>
    <row r="447" spans="1:9" x14ac:dyDescent="0.3">
      <c r="A447" s="1">
        <v>43387</v>
      </c>
      <c r="B447" s="5">
        <v>3950</v>
      </c>
      <c r="C447" s="3">
        <v>0</v>
      </c>
      <c r="D447" s="5">
        <v>1452.38</v>
      </c>
      <c r="E447" s="6">
        <f t="shared" si="27"/>
        <v>-7.0622337989074691E-3</v>
      </c>
      <c r="F447" s="7">
        <v>5.91E-2</v>
      </c>
      <c r="G447" s="7">
        <f t="shared" si="24"/>
        <v>1.1048308546639518E-3</v>
      </c>
      <c r="H447" s="9">
        <f t="shared" si="25"/>
        <v>-1.1048308546639518E-3</v>
      </c>
      <c r="I447" s="11">
        <f t="shared" si="26"/>
        <v>-8.1670646535714209E-3</v>
      </c>
    </row>
    <row r="448" spans="1:9" x14ac:dyDescent="0.3">
      <c r="A448" s="1">
        <v>43394</v>
      </c>
      <c r="B448" s="5">
        <v>3755</v>
      </c>
      <c r="C448" s="3">
        <v>-4.9399999999999999E-2</v>
      </c>
      <c r="D448" s="5">
        <v>1397.17</v>
      </c>
      <c r="E448" s="6">
        <f t="shared" si="27"/>
        <v>-3.8013467549814828E-2</v>
      </c>
      <c r="F448" s="7">
        <v>5.7930000000000002E-2</v>
      </c>
      <c r="G448" s="7">
        <f t="shared" si="24"/>
        <v>1.0835514003408875E-3</v>
      </c>
      <c r="H448" s="9">
        <f t="shared" si="25"/>
        <v>-5.0483551400340887E-2</v>
      </c>
      <c r="I448" s="11">
        <f t="shared" si="26"/>
        <v>-3.9097018950155715E-2</v>
      </c>
    </row>
    <row r="449" spans="1:9" x14ac:dyDescent="0.3">
      <c r="A449" s="1">
        <v>43401</v>
      </c>
      <c r="B449" s="5">
        <v>3430</v>
      </c>
      <c r="C449" s="3">
        <v>-8.6599999999999996E-2</v>
      </c>
      <c r="D449" s="5">
        <v>1390.97</v>
      </c>
      <c r="E449" s="6">
        <f t="shared" si="27"/>
        <v>-4.4375416019525327E-3</v>
      </c>
      <c r="F449" s="7">
        <v>5.8380000000000001E-2</v>
      </c>
      <c r="G449" s="7">
        <f t="shared" si="24"/>
        <v>1.0917385360598164E-3</v>
      </c>
      <c r="H449" s="9">
        <f t="shared" si="25"/>
        <v>-8.7691738536059813E-2</v>
      </c>
      <c r="I449" s="11">
        <f t="shared" si="26"/>
        <v>-5.5292801380123491E-3</v>
      </c>
    </row>
    <row r="450" spans="1:9" x14ac:dyDescent="0.3">
      <c r="A450" s="1">
        <v>43408</v>
      </c>
      <c r="B450" s="5">
        <v>3440</v>
      </c>
      <c r="C450" s="3">
        <v>2.8999999999999998E-3</v>
      </c>
      <c r="D450" s="5">
        <v>1419.91</v>
      </c>
      <c r="E450" s="6">
        <f t="shared" si="27"/>
        <v>2.0805624851722326E-2</v>
      </c>
      <c r="F450" s="7">
        <v>5.7930000000000002E-2</v>
      </c>
      <c r="G450" s="7">
        <f t="shared" si="24"/>
        <v>1.0835514003408875E-3</v>
      </c>
      <c r="H450" s="9">
        <f t="shared" si="25"/>
        <v>1.8164485996591123E-3</v>
      </c>
      <c r="I450" s="11">
        <f t="shared" si="26"/>
        <v>1.9722073451381439E-2</v>
      </c>
    </row>
    <row r="451" spans="1:9" x14ac:dyDescent="0.3">
      <c r="A451" s="1">
        <v>43415</v>
      </c>
      <c r="B451" s="5">
        <v>3275</v>
      </c>
      <c r="C451" s="3">
        <v>-4.8000000000000001E-2</v>
      </c>
      <c r="D451" s="5">
        <v>1436.9</v>
      </c>
      <c r="E451" s="6">
        <f t="shared" si="27"/>
        <v>1.1965547112140928E-2</v>
      </c>
      <c r="F451" s="7">
        <v>5.679E-2</v>
      </c>
      <c r="G451" s="7">
        <f t="shared" ref="G451:G514" si="28">(1+F451)^(1/52)-1</f>
        <v>1.0627953604767093E-3</v>
      </c>
      <c r="H451" s="9">
        <f t="shared" ref="H451:H514" si="29">C451-G451</f>
        <v>-4.906279536047671E-2</v>
      </c>
      <c r="I451" s="11">
        <f t="shared" ref="I451:I514" si="30">E451-G451</f>
        <v>1.0902751751664219E-2</v>
      </c>
    </row>
    <row r="452" spans="1:9" x14ac:dyDescent="0.3">
      <c r="A452" s="1">
        <v>43422</v>
      </c>
      <c r="B452" s="5">
        <v>3020</v>
      </c>
      <c r="C452" s="3">
        <v>-7.7899999999999997E-2</v>
      </c>
      <c r="D452" s="5">
        <v>1370.91</v>
      </c>
      <c r="E452" s="6">
        <f t="shared" ref="E452:E515" si="31">D452/D451-1</f>
        <v>-4.5925255758925476E-2</v>
      </c>
      <c r="F452" s="7">
        <v>5.5149999999999998E-2</v>
      </c>
      <c r="G452" s="7">
        <f t="shared" si="28"/>
        <v>1.0328972427817718E-3</v>
      </c>
      <c r="H452" s="9">
        <f t="shared" si="29"/>
        <v>-7.8932897242781769E-2</v>
      </c>
      <c r="I452" s="11">
        <f t="shared" si="30"/>
        <v>-4.6958153001707248E-2</v>
      </c>
    </row>
    <row r="453" spans="1:9" x14ac:dyDescent="0.3">
      <c r="A453" s="1">
        <v>43429</v>
      </c>
      <c r="B453" s="5">
        <v>3105</v>
      </c>
      <c r="C453" s="3">
        <v>2.81E-2</v>
      </c>
      <c r="D453" s="5">
        <v>1379.24</v>
      </c>
      <c r="E453" s="6">
        <f t="shared" si="31"/>
        <v>6.0762559176021913E-3</v>
      </c>
      <c r="F453" s="7">
        <v>5.3200000000000004E-2</v>
      </c>
      <c r="G453" s="7">
        <f t="shared" si="28"/>
        <v>9.9728828157674698E-4</v>
      </c>
      <c r="H453" s="9">
        <f t="shared" si="29"/>
        <v>2.7102711718423253E-2</v>
      </c>
      <c r="I453" s="11">
        <f t="shared" si="30"/>
        <v>5.0789676360254443E-3</v>
      </c>
    </row>
    <row r="454" spans="1:9" x14ac:dyDescent="0.3">
      <c r="A454" s="1">
        <v>43436</v>
      </c>
      <c r="B454" s="5">
        <v>3100</v>
      </c>
      <c r="C454" s="3">
        <v>-1.6000000000000001E-3</v>
      </c>
      <c r="D454" s="5">
        <v>1382.45</v>
      </c>
      <c r="E454" s="6">
        <f t="shared" si="31"/>
        <v>2.3273686958034112E-3</v>
      </c>
      <c r="F454" s="7">
        <v>5.2300000000000006E-2</v>
      </c>
      <c r="G454" s="7">
        <f t="shared" si="28"/>
        <v>9.8083156183581544E-4</v>
      </c>
      <c r="H454" s="9">
        <f t="shared" si="29"/>
        <v>-2.5808315618358153E-3</v>
      </c>
      <c r="I454" s="11">
        <f t="shared" si="30"/>
        <v>1.3465371339675958E-3</v>
      </c>
    </row>
    <row r="455" spans="1:9" x14ac:dyDescent="0.3">
      <c r="A455" s="1">
        <v>43443</v>
      </c>
      <c r="B455" s="5">
        <v>2940</v>
      </c>
      <c r="C455" s="3">
        <v>-5.16E-2</v>
      </c>
      <c r="D455" s="5">
        <v>1359.31</v>
      </c>
      <c r="E455" s="6">
        <f t="shared" si="31"/>
        <v>-1.6738399218778288E-2</v>
      </c>
      <c r="F455" s="7">
        <v>5.1689999999999993E-2</v>
      </c>
      <c r="G455" s="7">
        <f t="shared" si="28"/>
        <v>9.6966971220746601E-4</v>
      </c>
      <c r="H455" s="9">
        <f t="shared" si="29"/>
        <v>-5.2569669712207466E-2</v>
      </c>
      <c r="I455" s="11">
        <f t="shared" si="30"/>
        <v>-1.7708068930985754E-2</v>
      </c>
    </row>
    <row r="456" spans="1:9" x14ac:dyDescent="0.3">
      <c r="A456" s="1">
        <v>43450</v>
      </c>
      <c r="B456" s="5">
        <v>2665</v>
      </c>
      <c r="C456" s="3">
        <v>-9.35E-2</v>
      </c>
      <c r="D456" s="5">
        <v>1301.8599999999999</v>
      </c>
      <c r="E456" s="6">
        <f t="shared" si="31"/>
        <v>-4.2264089869124777E-2</v>
      </c>
      <c r="F456" s="7">
        <v>5.0720000000000001E-2</v>
      </c>
      <c r="G456" s="7">
        <f t="shared" si="28"/>
        <v>9.5190745852646863E-4</v>
      </c>
      <c r="H456" s="9">
        <f t="shared" si="29"/>
        <v>-9.4451907458526468E-2</v>
      </c>
      <c r="I456" s="11">
        <f t="shared" si="30"/>
        <v>-4.3215997327651245E-2</v>
      </c>
    </row>
    <row r="457" spans="1:9" x14ac:dyDescent="0.3">
      <c r="A457" s="1">
        <v>43457</v>
      </c>
      <c r="B457" s="5">
        <v>2645</v>
      </c>
      <c r="C457" s="3">
        <v>-7.4999999999999997E-3</v>
      </c>
      <c r="D457" s="5">
        <v>1325.93</v>
      </c>
      <c r="E457" s="6">
        <f t="shared" si="31"/>
        <v>1.8488931221483318E-2</v>
      </c>
      <c r="F457" s="7">
        <v>5.1550000000000006E-2</v>
      </c>
      <c r="G457" s="7">
        <f t="shared" si="28"/>
        <v>9.6710708036717996E-4</v>
      </c>
      <c r="H457" s="9">
        <f t="shared" si="29"/>
        <v>-8.4671070803671797E-3</v>
      </c>
      <c r="I457" s="11">
        <f t="shared" si="30"/>
        <v>1.7521824141116138E-2</v>
      </c>
    </row>
    <row r="458" spans="1:9" x14ac:dyDescent="0.3">
      <c r="A458" s="1">
        <v>43464</v>
      </c>
      <c r="B458" s="5">
        <v>2800</v>
      </c>
      <c r="C458" s="3">
        <v>5.8599999999999999E-2</v>
      </c>
      <c r="D458" s="5">
        <v>1356.75</v>
      </c>
      <c r="E458" s="6">
        <f t="shared" si="31"/>
        <v>2.3244062657908016E-2</v>
      </c>
      <c r="F458" s="7">
        <v>5.0290000000000001E-2</v>
      </c>
      <c r="G458" s="7">
        <f t="shared" si="28"/>
        <v>9.4402832434825612E-4</v>
      </c>
      <c r="H458" s="9">
        <f t="shared" si="29"/>
        <v>5.7655971675651743E-2</v>
      </c>
      <c r="I458" s="11">
        <f t="shared" si="30"/>
        <v>2.230003433355976E-2</v>
      </c>
    </row>
    <row r="459" spans="1:9" x14ac:dyDescent="0.3">
      <c r="A459" s="1">
        <v>43471</v>
      </c>
      <c r="B459" s="5">
        <v>2900</v>
      </c>
      <c r="C459" s="3">
        <v>3.5700000000000003E-2</v>
      </c>
      <c r="D459" s="5">
        <v>1388.38</v>
      </c>
      <c r="E459" s="6">
        <f t="shared" si="31"/>
        <v>2.3313064308089215E-2</v>
      </c>
      <c r="F459" s="7">
        <v>4.9880000000000008E-2</v>
      </c>
      <c r="G459" s="7">
        <f t="shared" si="28"/>
        <v>9.3651271451067331E-4</v>
      </c>
      <c r="H459" s="9">
        <f t="shared" si="29"/>
        <v>3.4763487285489329E-2</v>
      </c>
      <c r="I459" s="11">
        <f t="shared" si="30"/>
        <v>2.2376551593578542E-2</v>
      </c>
    </row>
    <row r="460" spans="1:9" x14ac:dyDescent="0.3">
      <c r="A460" s="1">
        <v>43478</v>
      </c>
      <c r="B460" s="5">
        <v>2895</v>
      </c>
      <c r="C460" s="3">
        <v>-1.6999999999999999E-3</v>
      </c>
      <c r="D460" s="5">
        <v>1392.95</v>
      </c>
      <c r="E460" s="6">
        <f t="shared" si="31"/>
        <v>3.2916060444545536E-3</v>
      </c>
      <c r="F460" s="7">
        <v>5.1310000000000001E-2</v>
      </c>
      <c r="G460" s="7">
        <f t="shared" si="28"/>
        <v>9.627132186105225E-4</v>
      </c>
      <c r="H460" s="9">
        <f t="shared" si="29"/>
        <v>-2.6627132186105226E-3</v>
      </c>
      <c r="I460" s="11">
        <f t="shared" si="30"/>
        <v>2.3288928258440311E-3</v>
      </c>
    </row>
    <row r="461" spans="1:9" x14ac:dyDescent="0.3">
      <c r="A461" s="1">
        <v>43485</v>
      </c>
      <c r="B461" s="5">
        <v>2860</v>
      </c>
      <c r="C461" s="3">
        <v>-1.21E-2</v>
      </c>
      <c r="D461" s="5">
        <v>1425.47</v>
      </c>
      <c r="E461" s="6">
        <f t="shared" si="31"/>
        <v>2.3346135898632436E-2</v>
      </c>
      <c r="F461" s="7">
        <v>5.1580000000000001E-2</v>
      </c>
      <c r="G461" s="7">
        <f t="shared" si="28"/>
        <v>9.6765624392980421E-4</v>
      </c>
      <c r="H461" s="9">
        <f t="shared" si="29"/>
        <v>-1.3067656243929804E-2</v>
      </c>
      <c r="I461" s="11">
        <f t="shared" si="30"/>
        <v>2.2378479654702632E-2</v>
      </c>
    </row>
    <row r="462" spans="1:9" x14ac:dyDescent="0.3">
      <c r="A462" s="1">
        <v>43492</v>
      </c>
      <c r="B462" s="5">
        <v>2935</v>
      </c>
      <c r="C462" s="3">
        <v>2.6200000000000001E-2</v>
      </c>
      <c r="D462" s="5">
        <v>1462.03</v>
      </c>
      <c r="E462" s="6">
        <f t="shared" si="31"/>
        <v>2.5647681115702259E-2</v>
      </c>
      <c r="F462" s="7">
        <v>5.0499999999999996E-2</v>
      </c>
      <c r="G462" s="7">
        <f t="shared" si="28"/>
        <v>9.4787666877538257E-4</v>
      </c>
      <c r="H462" s="9">
        <f t="shared" si="29"/>
        <v>2.5252123331224618E-2</v>
      </c>
      <c r="I462" s="11">
        <f t="shared" si="30"/>
        <v>2.4699804446926876E-2</v>
      </c>
    </row>
    <row r="463" spans="1:9" x14ac:dyDescent="0.3">
      <c r="A463" s="1">
        <v>43499</v>
      </c>
      <c r="B463" s="5">
        <v>2865</v>
      </c>
      <c r="C463" s="3">
        <v>-2.3900000000000001E-2</v>
      </c>
      <c r="D463" s="5">
        <v>1468.77</v>
      </c>
      <c r="E463" s="6">
        <f t="shared" si="31"/>
        <v>4.6100285219865533E-3</v>
      </c>
      <c r="F463" s="7">
        <v>5.1500000000000004E-2</v>
      </c>
      <c r="G463" s="7">
        <f t="shared" si="28"/>
        <v>9.6619177361523256E-4</v>
      </c>
      <c r="H463" s="9">
        <f t="shared" si="29"/>
        <v>-2.4866191773615234E-2</v>
      </c>
      <c r="I463" s="11">
        <f t="shared" si="30"/>
        <v>3.6438367483713208E-3</v>
      </c>
    </row>
    <row r="464" spans="1:9" x14ac:dyDescent="0.3">
      <c r="A464" s="1">
        <v>43506</v>
      </c>
      <c r="B464" s="5">
        <v>3055</v>
      </c>
      <c r="C464" s="3">
        <v>6.6299999999999998E-2</v>
      </c>
      <c r="D464" s="5">
        <v>1488.84</v>
      </c>
      <c r="E464" s="6">
        <f t="shared" si="31"/>
        <v>1.3664494781347569E-2</v>
      </c>
      <c r="F464" s="7">
        <v>5.1980000000000005E-2</v>
      </c>
      <c r="G464" s="7">
        <f t="shared" si="28"/>
        <v>9.7497695686521446E-4</v>
      </c>
      <c r="H464" s="9">
        <f t="shared" si="29"/>
        <v>6.5325023043134783E-2</v>
      </c>
      <c r="I464" s="11">
        <f t="shared" si="30"/>
        <v>1.2689517824482355E-2</v>
      </c>
    </row>
    <row r="465" spans="1:9" x14ac:dyDescent="0.3">
      <c r="A465" s="1">
        <v>43513</v>
      </c>
      <c r="B465" s="5">
        <v>3080</v>
      </c>
      <c r="C465" s="3">
        <v>8.2000000000000007E-3</v>
      </c>
      <c r="D465" s="5">
        <v>1491.74</v>
      </c>
      <c r="E465" s="6">
        <f t="shared" si="31"/>
        <v>1.9478251524678303E-3</v>
      </c>
      <c r="F465" s="7">
        <v>5.1100000000000007E-2</v>
      </c>
      <c r="G465" s="7">
        <f t="shared" si="28"/>
        <v>9.5886778249920646E-4</v>
      </c>
      <c r="H465" s="9">
        <f t="shared" si="29"/>
        <v>7.2411322175007942E-3</v>
      </c>
      <c r="I465" s="11">
        <f t="shared" si="30"/>
        <v>9.8895736996862382E-4</v>
      </c>
    </row>
    <row r="466" spans="1:9" x14ac:dyDescent="0.3">
      <c r="A466" s="1">
        <v>43520</v>
      </c>
      <c r="B466" s="5">
        <v>3165</v>
      </c>
      <c r="C466" s="3">
        <v>2.76E-2</v>
      </c>
      <c r="D466" s="5">
        <v>1515.35</v>
      </c>
      <c r="E466" s="6">
        <f t="shared" si="31"/>
        <v>1.5827154866129511E-2</v>
      </c>
      <c r="F466" s="7">
        <v>5.1550000000000006E-2</v>
      </c>
      <c r="G466" s="7">
        <f t="shared" si="28"/>
        <v>9.6710708036717996E-4</v>
      </c>
      <c r="H466" s="9">
        <f t="shared" si="29"/>
        <v>2.663289291963282E-2</v>
      </c>
      <c r="I466" s="11">
        <f t="shared" si="30"/>
        <v>1.4860047785762331E-2</v>
      </c>
    </row>
    <row r="467" spans="1:9" x14ac:dyDescent="0.3">
      <c r="A467" s="1">
        <v>43527</v>
      </c>
      <c r="B467" s="5">
        <v>3135</v>
      </c>
      <c r="C467" s="3">
        <v>-9.4999999999999998E-3</v>
      </c>
      <c r="D467" s="5">
        <v>1503.01</v>
      </c>
      <c r="E467" s="6">
        <f t="shared" si="31"/>
        <v>-8.143333223347704E-3</v>
      </c>
      <c r="F467" s="7">
        <v>5.0349999999999999E-2</v>
      </c>
      <c r="G467" s="7">
        <f t="shared" si="28"/>
        <v>9.451279283279046E-4</v>
      </c>
      <c r="H467" s="9">
        <f t="shared" si="29"/>
        <v>-1.0445127928327904E-2</v>
      </c>
      <c r="I467" s="11">
        <f t="shared" si="30"/>
        <v>-9.0884611516756086E-3</v>
      </c>
    </row>
    <row r="468" spans="1:9" x14ac:dyDescent="0.3">
      <c r="A468" s="1">
        <v>43534</v>
      </c>
      <c r="B468" s="5">
        <v>3400</v>
      </c>
      <c r="C468" s="3">
        <v>8.4500000000000006E-2</v>
      </c>
      <c r="D468" s="5">
        <v>1579.72</v>
      </c>
      <c r="E468" s="6">
        <f t="shared" si="31"/>
        <v>5.1037584580275519E-2</v>
      </c>
      <c r="F468" s="7">
        <v>5.058E-2</v>
      </c>
      <c r="G468" s="7">
        <f t="shared" si="28"/>
        <v>9.4934250628631034E-4</v>
      </c>
      <c r="H468" s="9">
        <f t="shared" si="29"/>
        <v>8.3550657493713695E-2</v>
      </c>
      <c r="I468" s="11">
        <f t="shared" si="30"/>
        <v>5.0088242073989209E-2</v>
      </c>
    </row>
    <row r="469" spans="1:9" x14ac:dyDescent="0.3">
      <c r="A469" s="1">
        <v>43541</v>
      </c>
      <c r="B469" s="5">
        <v>3430</v>
      </c>
      <c r="C469" s="3">
        <v>8.8000000000000005E-3</v>
      </c>
      <c r="D469" s="5">
        <v>1597.19</v>
      </c>
      <c r="E469" s="6">
        <f t="shared" si="31"/>
        <v>1.1058921834249169E-2</v>
      </c>
      <c r="F469" s="7">
        <v>5.0279999999999998E-2</v>
      </c>
      <c r="G469" s="7">
        <f t="shared" si="28"/>
        <v>9.4384505102840244E-4</v>
      </c>
      <c r="H469" s="9">
        <f t="shared" si="29"/>
        <v>7.8561549489715981E-3</v>
      </c>
      <c r="I469" s="11">
        <f t="shared" si="30"/>
        <v>1.0115076783220767E-2</v>
      </c>
    </row>
    <row r="470" spans="1:9" x14ac:dyDescent="0.3">
      <c r="A470" s="1">
        <v>43548</v>
      </c>
      <c r="B470" s="5">
        <v>3415</v>
      </c>
      <c r="C470" s="3">
        <v>-4.4000000000000003E-3</v>
      </c>
      <c r="D470" s="5">
        <v>1587.74</v>
      </c>
      <c r="E470" s="6">
        <f t="shared" si="31"/>
        <v>-5.9166411009335951E-3</v>
      </c>
      <c r="F470" s="7">
        <v>5.1070000000000004E-2</v>
      </c>
      <c r="G470" s="7">
        <f t="shared" si="28"/>
        <v>9.5831837297333244E-4</v>
      </c>
      <c r="H470" s="9">
        <f t="shared" si="29"/>
        <v>-5.3583183729733327E-3</v>
      </c>
      <c r="I470" s="11">
        <f t="shared" si="30"/>
        <v>-6.8749594739069275E-3</v>
      </c>
    </row>
    <row r="471" spans="1:9" x14ac:dyDescent="0.3">
      <c r="A471" s="1">
        <v>43555</v>
      </c>
      <c r="B471" s="5">
        <v>3360</v>
      </c>
      <c r="C471" s="3">
        <v>-1.61E-2</v>
      </c>
      <c r="D471" s="5">
        <v>1599.83</v>
      </c>
      <c r="E471" s="6">
        <f t="shared" si="31"/>
        <v>7.61459684835053E-3</v>
      </c>
      <c r="F471" s="7">
        <v>5.1479999999999998E-2</v>
      </c>
      <c r="G471" s="7">
        <f t="shared" si="28"/>
        <v>9.658256389621922E-4</v>
      </c>
      <c r="H471" s="9">
        <f t="shared" si="29"/>
        <v>-1.7065825638962192E-2</v>
      </c>
      <c r="I471" s="11">
        <f t="shared" si="30"/>
        <v>6.6487712093883378E-3</v>
      </c>
    </row>
    <row r="472" spans="1:9" x14ac:dyDescent="0.3">
      <c r="A472" s="1">
        <v>43562</v>
      </c>
      <c r="B472" s="5">
        <v>3275</v>
      </c>
      <c r="C472" s="3">
        <v>-2.53E-2</v>
      </c>
      <c r="D472" s="5">
        <v>1604.97</v>
      </c>
      <c r="E472" s="6">
        <f t="shared" si="31"/>
        <v>3.212841364395036E-3</v>
      </c>
      <c r="F472" s="7">
        <v>5.1500000000000004E-2</v>
      </c>
      <c r="G472" s="7">
        <f t="shared" si="28"/>
        <v>9.6619177361523256E-4</v>
      </c>
      <c r="H472" s="9">
        <f t="shared" si="29"/>
        <v>-2.6266191773615232E-2</v>
      </c>
      <c r="I472" s="11">
        <f t="shared" si="30"/>
        <v>2.2466495907798034E-3</v>
      </c>
    </row>
    <row r="473" spans="1:9" x14ac:dyDescent="0.3">
      <c r="A473" s="1">
        <v>43569</v>
      </c>
      <c r="B473" s="5">
        <v>3030</v>
      </c>
      <c r="C473" s="3">
        <v>-7.4800000000000005E-2</v>
      </c>
      <c r="D473" s="5">
        <v>1574.31</v>
      </c>
      <c r="E473" s="6">
        <f t="shared" si="31"/>
        <v>-1.9103160806744124E-2</v>
      </c>
      <c r="F473" s="7">
        <v>5.1470000000000002E-2</v>
      </c>
      <c r="G473" s="7">
        <f t="shared" si="28"/>
        <v>9.6564256907427648E-4</v>
      </c>
      <c r="H473" s="9">
        <f t="shared" si="29"/>
        <v>-7.5765642569074282E-2</v>
      </c>
      <c r="I473" s="11">
        <f t="shared" si="30"/>
        <v>-2.00688033758184E-2</v>
      </c>
    </row>
    <row r="474" spans="1:9" x14ac:dyDescent="0.3">
      <c r="A474" s="1">
        <v>43576</v>
      </c>
      <c r="B474" s="5">
        <v>3005</v>
      </c>
      <c r="C474" s="3">
        <v>-8.3000000000000001E-3</v>
      </c>
      <c r="D474" s="5">
        <v>1597.75</v>
      </c>
      <c r="E474" s="6">
        <f t="shared" si="31"/>
        <v>1.4889062509924944E-2</v>
      </c>
      <c r="F474" s="7">
        <v>5.296E-2</v>
      </c>
      <c r="G474" s="7">
        <f t="shared" si="28"/>
        <v>9.9290117197425865E-4</v>
      </c>
      <c r="H474" s="9">
        <f t="shared" si="29"/>
        <v>-9.2929011719742587E-3</v>
      </c>
      <c r="I474" s="11">
        <f t="shared" si="30"/>
        <v>1.3896161337950685E-2</v>
      </c>
    </row>
    <row r="475" spans="1:9" x14ac:dyDescent="0.3">
      <c r="A475" s="1">
        <v>43583</v>
      </c>
      <c r="B475" s="5">
        <v>2925</v>
      </c>
      <c r="C475" s="3">
        <v>-2.6599999999999999E-2</v>
      </c>
      <c r="D475" s="5">
        <v>1555.38</v>
      </c>
      <c r="E475" s="6">
        <f t="shared" si="31"/>
        <v>-2.6518541699264486E-2</v>
      </c>
      <c r="F475" s="7">
        <v>5.382E-2</v>
      </c>
      <c r="G475" s="7">
        <f t="shared" si="28"/>
        <v>1.0086171114402909E-3</v>
      </c>
      <c r="H475" s="9">
        <f t="shared" si="29"/>
        <v>-2.760861711144029E-2</v>
      </c>
      <c r="I475" s="11">
        <f t="shared" si="30"/>
        <v>-2.7527158810704777E-2</v>
      </c>
    </row>
    <row r="476" spans="1:9" x14ac:dyDescent="0.3">
      <c r="A476" s="1">
        <v>43590</v>
      </c>
      <c r="B476" s="5">
        <v>3070</v>
      </c>
      <c r="C476" s="3">
        <v>4.9599999999999998E-2</v>
      </c>
      <c r="D476" s="5">
        <v>1550.38</v>
      </c>
      <c r="E476" s="6">
        <f t="shared" si="31"/>
        <v>-3.21464851033193E-3</v>
      </c>
      <c r="F476" s="7">
        <v>5.4699999999999999E-2</v>
      </c>
      <c r="G476" s="7">
        <f t="shared" si="28"/>
        <v>1.0246855222448836E-3</v>
      </c>
      <c r="H476" s="9">
        <f t="shared" si="29"/>
        <v>4.8575314477755115E-2</v>
      </c>
      <c r="I476" s="11">
        <f t="shared" si="30"/>
        <v>-4.2393340325768136E-3</v>
      </c>
    </row>
    <row r="477" spans="1:9" x14ac:dyDescent="0.3">
      <c r="A477" s="1">
        <v>43597</v>
      </c>
      <c r="B477" s="5">
        <v>3070</v>
      </c>
      <c r="C477" s="3">
        <v>0</v>
      </c>
      <c r="D477" s="5">
        <v>1500.05</v>
      </c>
      <c r="E477" s="6">
        <f t="shared" si="31"/>
        <v>-3.2463009068744553E-2</v>
      </c>
      <c r="F477" s="7">
        <v>5.5149999999999998E-2</v>
      </c>
      <c r="G477" s="7">
        <f t="shared" si="28"/>
        <v>1.0328972427817718E-3</v>
      </c>
      <c r="H477" s="9">
        <f t="shared" si="29"/>
        <v>-1.0328972427817718E-3</v>
      </c>
      <c r="I477" s="11">
        <f t="shared" si="30"/>
        <v>-3.3495906311526324E-2</v>
      </c>
    </row>
    <row r="478" spans="1:9" x14ac:dyDescent="0.3">
      <c r="A478" s="1">
        <v>43604</v>
      </c>
      <c r="B478" s="5">
        <v>3000</v>
      </c>
      <c r="C478" s="3">
        <v>-2.2800000000000001E-2</v>
      </c>
      <c r="D478" s="5">
        <v>1489.41</v>
      </c>
      <c r="E478" s="6">
        <f t="shared" si="31"/>
        <v>-7.093096896770068E-3</v>
      </c>
      <c r="F478" s="7">
        <v>5.3259999999999995E-2</v>
      </c>
      <c r="G478" s="7">
        <f t="shared" si="28"/>
        <v>9.9838490577486283E-4</v>
      </c>
      <c r="H478" s="9">
        <f t="shared" si="29"/>
        <v>-2.3798384905774864E-2</v>
      </c>
      <c r="I478" s="11">
        <f t="shared" si="30"/>
        <v>-8.0914818025449309E-3</v>
      </c>
    </row>
    <row r="479" spans="1:9" x14ac:dyDescent="0.3">
      <c r="A479" s="1">
        <v>43611</v>
      </c>
      <c r="B479" s="5">
        <v>2765</v>
      </c>
      <c r="C479" s="3">
        <v>-7.8299999999999995E-2</v>
      </c>
      <c r="D479" s="5">
        <v>1487</v>
      </c>
      <c r="E479" s="6">
        <f t="shared" si="31"/>
        <v>-1.6180903847833328E-3</v>
      </c>
      <c r="F479" s="7">
        <v>5.3200000000000004E-2</v>
      </c>
      <c r="G479" s="7">
        <f t="shared" si="28"/>
        <v>9.9728828157674698E-4</v>
      </c>
      <c r="H479" s="9">
        <f t="shared" si="29"/>
        <v>-7.9297288281576742E-2</v>
      </c>
      <c r="I479" s="11">
        <f t="shared" si="30"/>
        <v>-2.6153786663600798E-3</v>
      </c>
    </row>
    <row r="480" spans="1:9" x14ac:dyDescent="0.3">
      <c r="A480" s="1">
        <v>43618</v>
      </c>
      <c r="B480" s="5">
        <v>2875</v>
      </c>
      <c r="C480" s="3">
        <v>3.9800000000000002E-2</v>
      </c>
      <c r="D480" s="5">
        <v>1509.82</v>
      </c>
      <c r="E480" s="6">
        <f t="shared" si="31"/>
        <v>1.5346334902488268E-2</v>
      </c>
      <c r="F480" s="7">
        <v>5.2999999999999999E-2</v>
      </c>
      <c r="G480" s="7">
        <f t="shared" si="28"/>
        <v>9.9363242500905002E-4</v>
      </c>
      <c r="H480" s="9">
        <f t="shared" si="29"/>
        <v>3.8806367574990952E-2</v>
      </c>
      <c r="I480" s="11">
        <f t="shared" si="30"/>
        <v>1.4352702477479218E-2</v>
      </c>
    </row>
    <row r="481" spans="1:9" x14ac:dyDescent="0.3">
      <c r="A481" s="1">
        <v>43625</v>
      </c>
      <c r="B481" s="5">
        <v>2790</v>
      </c>
      <c r="C481" s="3">
        <v>-2.9600000000000001E-2</v>
      </c>
      <c r="D481" s="5">
        <v>1526.36</v>
      </c>
      <c r="E481" s="6">
        <f t="shared" si="31"/>
        <v>1.0954948271979514E-2</v>
      </c>
      <c r="F481" s="7">
        <v>5.3200000000000004E-2</v>
      </c>
      <c r="G481" s="7">
        <f t="shared" si="28"/>
        <v>9.9728828157674698E-4</v>
      </c>
      <c r="H481" s="9">
        <f t="shared" si="29"/>
        <v>-3.0597288281576748E-2</v>
      </c>
      <c r="I481" s="11">
        <f t="shared" si="30"/>
        <v>9.9576599904027674E-3</v>
      </c>
    </row>
    <row r="482" spans="1:9" x14ac:dyDescent="0.3">
      <c r="A482" s="1">
        <v>43632</v>
      </c>
      <c r="B482" s="5">
        <v>3020</v>
      </c>
      <c r="C482" s="3">
        <v>8.2400000000000001E-2</v>
      </c>
      <c r="D482" s="5">
        <v>1560.19</v>
      </c>
      <c r="E482" s="6">
        <f t="shared" si="31"/>
        <v>2.2163840771508792E-2</v>
      </c>
      <c r="F482" s="7">
        <v>5.3249999999999999E-2</v>
      </c>
      <c r="G482" s="7">
        <f t="shared" si="28"/>
        <v>9.9820213932999557E-4</v>
      </c>
      <c r="H482" s="9">
        <f t="shared" si="29"/>
        <v>8.1401797860670005E-2</v>
      </c>
      <c r="I482" s="11">
        <f t="shared" si="30"/>
        <v>2.1165638632178796E-2</v>
      </c>
    </row>
    <row r="483" spans="1:9" x14ac:dyDescent="0.3">
      <c r="A483" s="1">
        <v>43639</v>
      </c>
      <c r="B483" s="5">
        <v>2920</v>
      </c>
      <c r="C483" s="3">
        <v>-3.3099999999999997E-2</v>
      </c>
      <c r="D483" s="5">
        <v>1548.98</v>
      </c>
      <c r="E483" s="6">
        <f t="shared" si="31"/>
        <v>-7.185022337023117E-3</v>
      </c>
      <c r="F483" s="7">
        <v>5.1500000000000004E-2</v>
      </c>
      <c r="G483" s="7">
        <f t="shared" si="28"/>
        <v>9.6619177361523256E-4</v>
      </c>
      <c r="H483" s="9">
        <f t="shared" si="29"/>
        <v>-3.406619177361523E-2</v>
      </c>
      <c r="I483" s="11">
        <f t="shared" si="30"/>
        <v>-8.1512141106383496E-3</v>
      </c>
    </row>
    <row r="484" spans="1:9" x14ac:dyDescent="0.3">
      <c r="A484" s="1">
        <v>43646</v>
      </c>
      <c r="B484" s="5">
        <v>3020</v>
      </c>
      <c r="C484" s="3">
        <v>3.4200000000000001E-2</v>
      </c>
      <c r="D484" s="5">
        <v>1579.19</v>
      </c>
      <c r="E484" s="6">
        <f t="shared" si="31"/>
        <v>1.9503156916164111E-2</v>
      </c>
      <c r="F484" s="7">
        <v>5.1310000000000001E-2</v>
      </c>
      <c r="G484" s="7">
        <f t="shared" si="28"/>
        <v>9.627132186105225E-4</v>
      </c>
      <c r="H484" s="9">
        <f t="shared" si="29"/>
        <v>3.3237286781389479E-2</v>
      </c>
      <c r="I484" s="11">
        <f t="shared" si="30"/>
        <v>1.8540443697553588E-2</v>
      </c>
    </row>
    <row r="485" spans="1:9" x14ac:dyDescent="0.3">
      <c r="A485" s="1">
        <v>43653</v>
      </c>
      <c r="B485" s="5">
        <v>3070</v>
      </c>
      <c r="C485" s="3">
        <v>1.66E-2</v>
      </c>
      <c r="D485" s="5">
        <v>1605.15</v>
      </c>
      <c r="E485" s="6">
        <f t="shared" si="31"/>
        <v>1.6438807236621278E-2</v>
      </c>
      <c r="F485" s="7">
        <v>5.0940000000000006E-2</v>
      </c>
      <c r="G485" s="7">
        <f t="shared" si="28"/>
        <v>9.5593742062494158E-4</v>
      </c>
      <c r="H485" s="9">
        <f t="shared" si="29"/>
        <v>1.5644062579375059E-2</v>
      </c>
      <c r="I485" s="11">
        <f t="shared" si="30"/>
        <v>1.5482869815996336E-2</v>
      </c>
    </row>
    <row r="486" spans="1:9" x14ac:dyDescent="0.3">
      <c r="A486" s="1">
        <v>43660</v>
      </c>
      <c r="B486" s="5">
        <v>3010</v>
      </c>
      <c r="C486" s="3">
        <v>-1.95E-2</v>
      </c>
      <c r="D486" s="5">
        <v>1600.39</v>
      </c>
      <c r="E486" s="6">
        <f t="shared" si="31"/>
        <v>-2.9654549419056986E-3</v>
      </c>
      <c r="F486" s="7">
        <v>5.04E-2</v>
      </c>
      <c r="G486" s="7">
        <f t="shared" si="28"/>
        <v>9.4604421791877336E-4</v>
      </c>
      <c r="H486" s="9">
        <f t="shared" si="29"/>
        <v>-2.0446044217918773E-2</v>
      </c>
      <c r="I486" s="11">
        <f t="shared" si="30"/>
        <v>-3.9114991598244719E-3</v>
      </c>
    </row>
    <row r="487" spans="1:9" x14ac:dyDescent="0.3">
      <c r="A487" s="1">
        <v>43667</v>
      </c>
      <c r="B487" s="5">
        <v>2980</v>
      </c>
      <c r="C487" s="3">
        <v>-0.01</v>
      </c>
      <c r="D487" s="5">
        <v>1580.56</v>
      </c>
      <c r="E487" s="6">
        <f t="shared" si="31"/>
        <v>-1.2390729759621188E-2</v>
      </c>
      <c r="F487" s="7">
        <v>5.0110000000000002E-2</v>
      </c>
      <c r="G487" s="7">
        <f t="shared" si="28"/>
        <v>9.4072914271592367E-4</v>
      </c>
      <c r="H487" s="9">
        <f t="shared" si="29"/>
        <v>-1.0940729142715924E-2</v>
      </c>
      <c r="I487" s="11">
        <f t="shared" si="30"/>
        <v>-1.3331458902337112E-2</v>
      </c>
    </row>
    <row r="488" spans="1:9" x14ac:dyDescent="0.3">
      <c r="A488" s="1">
        <v>43674</v>
      </c>
      <c r="B488" s="5">
        <v>2900</v>
      </c>
      <c r="C488" s="3">
        <v>-2.6800000000000001E-2</v>
      </c>
      <c r="D488" s="5">
        <v>1543.38</v>
      </c>
      <c r="E488" s="6">
        <f t="shared" si="31"/>
        <v>-2.352330819456383E-2</v>
      </c>
      <c r="F488" s="7">
        <v>4.9439999999999998E-2</v>
      </c>
      <c r="G488" s="7">
        <f t="shared" si="28"/>
        <v>9.2844397912306142E-4</v>
      </c>
      <c r="H488" s="9">
        <f t="shared" si="29"/>
        <v>-2.7728443979123062E-2</v>
      </c>
      <c r="I488" s="11">
        <f t="shared" si="30"/>
        <v>-2.4451752173686891E-2</v>
      </c>
    </row>
    <row r="489" spans="1:9" x14ac:dyDescent="0.3">
      <c r="A489" s="1">
        <v>43681</v>
      </c>
      <c r="B489" s="5">
        <v>2835</v>
      </c>
      <c r="C489" s="3">
        <v>-2.24E-2</v>
      </c>
      <c r="D489" s="5">
        <v>1537.8</v>
      </c>
      <c r="E489" s="6">
        <f t="shared" si="31"/>
        <v>-3.6154414337364882E-3</v>
      </c>
      <c r="F489" s="7">
        <v>4.9100000000000005E-2</v>
      </c>
      <c r="G489" s="7">
        <f t="shared" si="28"/>
        <v>9.2220677439969201E-4</v>
      </c>
      <c r="H489" s="9">
        <f t="shared" si="29"/>
        <v>-2.3322206774399692E-2</v>
      </c>
      <c r="I489" s="11">
        <f t="shared" si="30"/>
        <v>-4.5376482081361802E-3</v>
      </c>
    </row>
    <row r="490" spans="1:9" x14ac:dyDescent="0.3">
      <c r="A490" s="1">
        <v>43688</v>
      </c>
      <c r="B490" s="5">
        <v>2750</v>
      </c>
      <c r="C490" s="3">
        <v>-0.03</v>
      </c>
      <c r="D490" s="5">
        <v>1542.81</v>
      </c>
      <c r="E490" s="6">
        <f t="shared" si="31"/>
        <v>3.2579008973858681E-3</v>
      </c>
      <c r="F490" s="7">
        <v>5.1100000000000007E-2</v>
      </c>
      <c r="G490" s="7">
        <f t="shared" si="28"/>
        <v>9.5886778249920646E-4</v>
      </c>
      <c r="H490" s="9">
        <f t="shared" si="29"/>
        <v>-3.0958867782499205E-2</v>
      </c>
      <c r="I490" s="11">
        <f t="shared" si="30"/>
        <v>2.2990331148866616E-3</v>
      </c>
    </row>
    <row r="491" spans="1:9" x14ac:dyDescent="0.3">
      <c r="A491" s="1">
        <v>43695</v>
      </c>
      <c r="B491" s="5">
        <v>2615</v>
      </c>
      <c r="C491" s="3">
        <v>-4.9099999999999998E-2</v>
      </c>
      <c r="D491" s="5">
        <v>1505.29</v>
      </c>
      <c r="E491" s="6">
        <f t="shared" si="31"/>
        <v>-2.4319261607067655E-2</v>
      </c>
      <c r="F491" s="7">
        <v>4.9489999999999999E-2</v>
      </c>
      <c r="G491" s="7">
        <f t="shared" si="28"/>
        <v>9.2936104795082741E-4</v>
      </c>
      <c r="H491" s="9">
        <f t="shared" si="29"/>
        <v>-5.0029361047950825E-2</v>
      </c>
      <c r="I491" s="11">
        <f t="shared" si="30"/>
        <v>-2.5248622655018482E-2</v>
      </c>
    </row>
    <row r="492" spans="1:9" x14ac:dyDescent="0.3">
      <c r="A492" s="1">
        <v>43702</v>
      </c>
      <c r="B492" s="5">
        <v>2740</v>
      </c>
      <c r="C492" s="3">
        <v>4.7800000000000002E-2</v>
      </c>
      <c r="D492" s="5">
        <v>1559.52</v>
      </c>
      <c r="E492" s="6">
        <f t="shared" si="31"/>
        <v>3.6026280650240272E-2</v>
      </c>
      <c r="F492" s="7">
        <v>7.2000000000000008E-2</v>
      </c>
      <c r="G492" s="7">
        <f t="shared" si="28"/>
        <v>1.3379339023527059E-3</v>
      </c>
      <c r="H492" s="9">
        <f t="shared" si="29"/>
        <v>4.6462066097647296E-2</v>
      </c>
      <c r="I492" s="11">
        <f t="shared" si="30"/>
        <v>3.4688346747887566E-2</v>
      </c>
    </row>
    <row r="493" spans="1:9" x14ac:dyDescent="0.3">
      <c r="A493" s="1">
        <v>43709</v>
      </c>
      <c r="B493" s="5">
        <v>2830</v>
      </c>
      <c r="C493" s="3">
        <v>3.2800000000000003E-2</v>
      </c>
      <c r="D493" s="5">
        <v>1567.53</v>
      </c>
      <c r="E493" s="6">
        <f t="shared" si="31"/>
        <v>5.1361957525393187E-3</v>
      </c>
      <c r="F493" s="7">
        <v>7.2999999999999995E-2</v>
      </c>
      <c r="G493" s="7">
        <f t="shared" si="28"/>
        <v>1.3558888419957782E-3</v>
      </c>
      <c r="H493" s="9">
        <f t="shared" si="29"/>
        <v>3.1444111158004225E-2</v>
      </c>
      <c r="I493" s="11">
        <f t="shared" si="30"/>
        <v>3.7803069105435405E-3</v>
      </c>
    </row>
    <row r="494" spans="1:9" x14ac:dyDescent="0.3">
      <c r="A494" s="1">
        <v>43716</v>
      </c>
      <c r="B494" s="5">
        <v>2900</v>
      </c>
      <c r="C494" s="3">
        <v>2.47E-2</v>
      </c>
      <c r="D494" s="5">
        <v>1580.6</v>
      </c>
      <c r="E494" s="6">
        <f t="shared" si="31"/>
        <v>8.3379584441765076E-3</v>
      </c>
      <c r="F494" s="7">
        <v>5.9000000000000004E-2</v>
      </c>
      <c r="G494" s="7">
        <f t="shared" si="28"/>
        <v>1.1030129991791426E-3</v>
      </c>
      <c r="H494" s="9">
        <f t="shared" si="29"/>
        <v>2.3596987000820857E-2</v>
      </c>
      <c r="I494" s="11">
        <f t="shared" si="30"/>
        <v>7.2349454449973649E-3</v>
      </c>
    </row>
    <row r="495" spans="1:9" x14ac:dyDescent="0.3">
      <c r="A495" s="1">
        <v>43723</v>
      </c>
      <c r="B495" s="5">
        <v>3010</v>
      </c>
      <c r="C495" s="3">
        <v>3.7900000000000003E-2</v>
      </c>
      <c r="D495" s="5">
        <v>1594.22</v>
      </c>
      <c r="E495" s="6">
        <f t="shared" si="31"/>
        <v>8.6169808933316272E-3</v>
      </c>
      <c r="F495" s="7">
        <v>6.3E-2</v>
      </c>
      <c r="G495" s="7">
        <f t="shared" si="28"/>
        <v>1.1755962290749267E-3</v>
      </c>
      <c r="H495" s="9">
        <f t="shared" si="29"/>
        <v>3.6724403770925076E-2</v>
      </c>
      <c r="I495" s="11">
        <f t="shared" si="30"/>
        <v>7.4413846642567005E-3</v>
      </c>
    </row>
    <row r="496" spans="1:9" x14ac:dyDescent="0.3">
      <c r="A496" s="1">
        <v>43730</v>
      </c>
      <c r="B496" s="5">
        <v>2990</v>
      </c>
      <c r="C496" s="3">
        <v>-6.6E-3</v>
      </c>
      <c r="D496" s="5">
        <v>1584.99</v>
      </c>
      <c r="E496" s="6">
        <f t="shared" si="31"/>
        <v>-5.7896651654100184E-3</v>
      </c>
      <c r="F496" s="7">
        <v>6.25E-2</v>
      </c>
      <c r="G496" s="7">
        <f t="shared" si="28"/>
        <v>1.1665379886105498E-3</v>
      </c>
      <c r="H496" s="9">
        <f t="shared" si="29"/>
        <v>-7.7665379886105498E-3</v>
      </c>
      <c r="I496" s="11">
        <f t="shared" si="30"/>
        <v>-6.9562031540205682E-3</v>
      </c>
    </row>
    <row r="497" spans="1:9" x14ac:dyDescent="0.3">
      <c r="A497" s="1">
        <v>43737</v>
      </c>
      <c r="B497" s="5">
        <v>2940</v>
      </c>
      <c r="C497" s="3">
        <v>-1.67E-2</v>
      </c>
      <c r="D497" s="5">
        <v>1593.05</v>
      </c>
      <c r="E497" s="6">
        <f t="shared" si="31"/>
        <v>5.0852055848933375E-3</v>
      </c>
      <c r="F497" s="7">
        <v>5.33E-2</v>
      </c>
      <c r="G497" s="7">
        <f t="shared" si="28"/>
        <v>9.9911595453572311E-4</v>
      </c>
      <c r="H497" s="9">
        <f t="shared" si="29"/>
        <v>-1.7699115954535723E-2</v>
      </c>
      <c r="I497" s="11">
        <f t="shared" si="30"/>
        <v>4.0860896303576144E-3</v>
      </c>
    </row>
    <row r="498" spans="1:9" x14ac:dyDescent="0.3">
      <c r="A498" s="1">
        <v>43744</v>
      </c>
      <c r="B498" s="5">
        <v>2995</v>
      </c>
      <c r="C498" s="3">
        <v>1.8700000000000001E-2</v>
      </c>
      <c r="D498" s="5">
        <v>1590.86</v>
      </c>
      <c r="E498" s="6">
        <f t="shared" si="31"/>
        <v>-1.3747214462823676E-3</v>
      </c>
      <c r="F498" s="7">
        <v>5.2549999999999999E-2</v>
      </c>
      <c r="G498" s="7">
        <f t="shared" si="28"/>
        <v>9.8540425714310764E-4</v>
      </c>
      <c r="H498" s="9">
        <f t="shared" si="29"/>
        <v>1.7714595742856894E-2</v>
      </c>
      <c r="I498" s="11">
        <f t="shared" si="30"/>
        <v>-2.3601257034254752E-3</v>
      </c>
    </row>
    <row r="499" spans="1:9" x14ac:dyDescent="0.3">
      <c r="A499" s="1">
        <v>43751</v>
      </c>
      <c r="B499" s="5">
        <v>2915</v>
      </c>
      <c r="C499" s="3">
        <v>-2.6700000000000002E-2</v>
      </c>
      <c r="D499" s="5">
        <v>1578.61</v>
      </c>
      <c r="E499" s="6">
        <f t="shared" si="31"/>
        <v>-7.7002376073318501E-3</v>
      </c>
      <c r="F499" s="7">
        <v>5.2080000000000001E-2</v>
      </c>
      <c r="G499" s="7">
        <f t="shared" si="28"/>
        <v>9.7680670852606788E-4</v>
      </c>
      <c r="H499" s="9">
        <f t="shared" si="29"/>
        <v>-2.7676806708526069E-2</v>
      </c>
      <c r="I499" s="11">
        <f t="shared" si="30"/>
        <v>-8.677044315857918E-3</v>
      </c>
    </row>
    <row r="500" spans="1:9" x14ac:dyDescent="0.3">
      <c r="A500" s="1">
        <v>43758</v>
      </c>
      <c r="B500" s="5">
        <v>3045</v>
      </c>
      <c r="C500" s="3">
        <v>4.4600000000000001E-2</v>
      </c>
      <c r="D500" s="5">
        <v>1628.55</v>
      </c>
      <c r="E500" s="6">
        <f t="shared" si="31"/>
        <v>3.1635426102710751E-2</v>
      </c>
      <c r="F500" s="7">
        <v>4.5899999999999996E-2</v>
      </c>
      <c r="G500" s="7">
        <f t="shared" si="28"/>
        <v>8.6340634350334788E-4</v>
      </c>
      <c r="H500" s="9">
        <f t="shared" si="29"/>
        <v>4.3736593656496653E-2</v>
      </c>
      <c r="I500" s="11">
        <f t="shared" si="30"/>
        <v>3.0772019759207403E-2</v>
      </c>
    </row>
    <row r="501" spans="1:9" x14ac:dyDescent="0.3">
      <c r="A501" s="1">
        <v>43765</v>
      </c>
      <c r="B501" s="5">
        <v>3090</v>
      </c>
      <c r="C501" s="3">
        <v>1.4800000000000001E-2</v>
      </c>
      <c r="D501" s="5">
        <v>1645.88</v>
      </c>
      <c r="E501" s="6">
        <f t="shared" si="31"/>
        <v>1.0641368088176728E-2</v>
      </c>
      <c r="F501" s="7">
        <v>4.4519999999999997E-2</v>
      </c>
      <c r="G501" s="7">
        <f t="shared" si="28"/>
        <v>8.3799418549523885E-4</v>
      </c>
      <c r="H501" s="9">
        <f t="shared" si="29"/>
        <v>1.3962005814504762E-2</v>
      </c>
      <c r="I501" s="11">
        <f t="shared" si="30"/>
        <v>9.8033739026814892E-3</v>
      </c>
    </row>
    <row r="502" spans="1:9" x14ac:dyDescent="0.3">
      <c r="A502" s="1">
        <v>43772</v>
      </c>
      <c r="B502" s="5">
        <v>3130</v>
      </c>
      <c r="C502" s="3">
        <v>1.29E-2</v>
      </c>
      <c r="D502" s="5">
        <v>1636.23</v>
      </c>
      <c r="E502" s="6">
        <f t="shared" si="31"/>
        <v>-5.86312489367391E-3</v>
      </c>
      <c r="F502" s="7">
        <v>4.0500000000000001E-2</v>
      </c>
      <c r="G502" s="7">
        <f t="shared" si="28"/>
        <v>7.6377935508586958E-4</v>
      </c>
      <c r="H502" s="9">
        <f t="shared" si="29"/>
        <v>1.213622064491413E-2</v>
      </c>
      <c r="I502" s="11">
        <f t="shared" si="30"/>
        <v>-6.6269042487597796E-3</v>
      </c>
    </row>
    <row r="503" spans="1:9" x14ac:dyDescent="0.3">
      <c r="A503" s="1">
        <v>43779</v>
      </c>
      <c r="B503" s="5">
        <v>3145</v>
      </c>
      <c r="C503" s="3">
        <v>4.7999999999999996E-3</v>
      </c>
      <c r="D503" s="5">
        <v>1627.25</v>
      </c>
      <c r="E503" s="6">
        <f t="shared" si="31"/>
        <v>-5.4882259828997748E-3</v>
      </c>
      <c r="F503" s="7">
        <v>3.95E-2</v>
      </c>
      <c r="G503" s="7">
        <f t="shared" si="28"/>
        <v>7.4527427735104901E-4</v>
      </c>
      <c r="H503" s="9">
        <f t="shared" si="29"/>
        <v>4.0547257226489506E-3</v>
      </c>
      <c r="I503" s="11">
        <f t="shared" si="30"/>
        <v>-6.2335002602508238E-3</v>
      </c>
    </row>
    <row r="504" spans="1:9" x14ac:dyDescent="0.3">
      <c r="A504" s="1">
        <v>43786</v>
      </c>
      <c r="B504" s="5">
        <v>3170</v>
      </c>
      <c r="C504" s="3">
        <v>7.9000000000000008E-3</v>
      </c>
      <c r="D504" s="5">
        <v>1613.84</v>
      </c>
      <c r="E504" s="6">
        <f t="shared" si="31"/>
        <v>-8.2408972192349328E-3</v>
      </c>
      <c r="F504" s="7">
        <v>4.0340000000000001E-2</v>
      </c>
      <c r="G504" s="7">
        <f t="shared" si="28"/>
        <v>7.608197151134366E-4</v>
      </c>
      <c r="H504" s="9">
        <f t="shared" si="29"/>
        <v>7.1391802848865642E-3</v>
      </c>
      <c r="I504" s="11">
        <f t="shared" si="30"/>
        <v>-9.0017169343483694E-3</v>
      </c>
    </row>
    <row r="505" spans="1:9" x14ac:dyDescent="0.3">
      <c r="A505" s="1">
        <v>43793</v>
      </c>
      <c r="B505" s="5">
        <v>3290</v>
      </c>
      <c r="C505" s="3">
        <v>3.7900000000000003E-2</v>
      </c>
      <c r="D505" s="5">
        <v>1611.92</v>
      </c>
      <c r="E505" s="6">
        <f t="shared" si="31"/>
        <v>-1.1897090170028823E-3</v>
      </c>
      <c r="F505" s="7">
        <v>4.2950000000000002E-2</v>
      </c>
      <c r="G505" s="7">
        <f t="shared" si="28"/>
        <v>8.0904318038621525E-4</v>
      </c>
      <c r="H505" s="9">
        <f t="shared" si="29"/>
        <v>3.7090956819613788E-2</v>
      </c>
      <c r="I505" s="11">
        <f t="shared" si="30"/>
        <v>-1.9987521973890976E-3</v>
      </c>
    </row>
    <row r="506" spans="1:9" x14ac:dyDescent="0.3">
      <c r="A506" s="1">
        <v>43800</v>
      </c>
      <c r="B506" s="5">
        <v>3300</v>
      </c>
      <c r="C506" s="3">
        <v>3.0000000000000001E-3</v>
      </c>
      <c r="D506" s="5">
        <v>1611.67</v>
      </c>
      <c r="E506" s="6">
        <f t="shared" si="31"/>
        <v>-1.5509454563500391E-4</v>
      </c>
      <c r="F506" s="7">
        <v>4.6900000000000004E-2</v>
      </c>
      <c r="G506" s="7">
        <f t="shared" si="28"/>
        <v>8.818004103317012E-4</v>
      </c>
      <c r="H506" s="9">
        <f t="shared" si="29"/>
        <v>2.1181995896682989E-3</v>
      </c>
      <c r="I506" s="11">
        <f t="shared" si="30"/>
        <v>-1.0368949559667051E-3</v>
      </c>
    </row>
    <row r="507" spans="1:9" x14ac:dyDescent="0.3">
      <c r="A507" s="1">
        <v>43807</v>
      </c>
      <c r="B507" s="5">
        <v>3325</v>
      </c>
      <c r="C507" s="3">
        <v>7.6E-3</v>
      </c>
      <c r="D507" s="5">
        <v>1630.8</v>
      </c>
      <c r="E507" s="6">
        <f t="shared" si="31"/>
        <v>1.1869675553928483E-2</v>
      </c>
      <c r="F507" s="7">
        <v>4.6500000000000007E-2</v>
      </c>
      <c r="G507" s="7">
        <f t="shared" si="28"/>
        <v>8.7444485231569224E-4</v>
      </c>
      <c r="H507" s="9">
        <f t="shared" si="29"/>
        <v>6.7255551476843077E-3</v>
      </c>
      <c r="I507" s="11">
        <f t="shared" si="30"/>
        <v>1.099523070161279E-2</v>
      </c>
    </row>
    <row r="508" spans="1:9" x14ac:dyDescent="0.3">
      <c r="A508" s="1">
        <v>43814</v>
      </c>
      <c r="B508" s="5">
        <v>3320</v>
      </c>
      <c r="C508" s="3">
        <v>-1.5E-3</v>
      </c>
      <c r="D508" s="5">
        <v>1642.86</v>
      </c>
      <c r="E508" s="6">
        <f t="shared" si="31"/>
        <v>7.3951434878587463E-3</v>
      </c>
      <c r="F508" s="7">
        <v>4.2480000000000004E-2</v>
      </c>
      <c r="G508" s="7">
        <f t="shared" si="28"/>
        <v>8.003680054899931E-4</v>
      </c>
      <c r="H508" s="9">
        <f t="shared" si="29"/>
        <v>-2.3003680054899931E-3</v>
      </c>
      <c r="I508" s="11">
        <f t="shared" si="30"/>
        <v>6.5947754823687532E-3</v>
      </c>
    </row>
    <row r="509" spans="1:9" x14ac:dyDescent="0.3">
      <c r="A509" s="1">
        <v>43821</v>
      </c>
      <c r="B509" s="5">
        <v>3340</v>
      </c>
      <c r="C509" s="3">
        <v>6.0000000000000001E-3</v>
      </c>
      <c r="D509" s="5">
        <v>1661.21</v>
      </c>
      <c r="E509" s="6">
        <f t="shared" si="31"/>
        <v>1.1169545792094393E-2</v>
      </c>
      <c r="F509" s="7">
        <v>4.1250000000000002E-2</v>
      </c>
      <c r="G509" s="7">
        <f t="shared" si="28"/>
        <v>7.7764672013991287E-4</v>
      </c>
      <c r="H509" s="9">
        <f t="shared" si="29"/>
        <v>5.2223532798600873E-3</v>
      </c>
      <c r="I509" s="11">
        <f t="shared" si="30"/>
        <v>1.039189907195448E-2</v>
      </c>
    </row>
    <row r="510" spans="1:9" x14ac:dyDescent="0.3">
      <c r="A510" s="1">
        <v>43828</v>
      </c>
      <c r="B510" s="5">
        <v>3380</v>
      </c>
      <c r="C510" s="3">
        <v>1.2E-2</v>
      </c>
      <c r="D510" s="5">
        <v>1676.49</v>
      </c>
      <c r="E510" s="6">
        <f t="shared" si="31"/>
        <v>9.1981146272896996E-3</v>
      </c>
      <c r="F510" s="7">
        <v>4.0750000000000001E-2</v>
      </c>
      <c r="G510" s="7">
        <f t="shared" si="28"/>
        <v>7.6840289907265102E-4</v>
      </c>
      <c r="H510" s="9">
        <f t="shared" si="29"/>
        <v>1.1231597100927349E-2</v>
      </c>
      <c r="I510" s="11">
        <f t="shared" si="30"/>
        <v>8.4297117282170486E-3</v>
      </c>
    </row>
    <row r="511" spans="1:9" x14ac:dyDescent="0.3">
      <c r="A511" s="1">
        <v>43835</v>
      </c>
      <c r="B511" s="5">
        <v>3400</v>
      </c>
      <c r="C511" s="3">
        <v>5.8999999999999999E-3</v>
      </c>
      <c r="D511" s="5">
        <v>1654.93</v>
      </c>
      <c r="E511" s="6">
        <f t="shared" si="31"/>
        <v>-1.2860201969591145E-2</v>
      </c>
      <c r="F511" s="7">
        <v>4.0999999999999995E-2</v>
      </c>
      <c r="G511" s="7">
        <f t="shared" si="28"/>
        <v>7.7302535391798877E-4</v>
      </c>
      <c r="H511" s="9">
        <f t="shared" si="29"/>
        <v>5.1269746460820111E-3</v>
      </c>
      <c r="I511" s="11">
        <f t="shared" si="30"/>
        <v>-1.3633227323509134E-2</v>
      </c>
    </row>
    <row r="512" spans="1:9" x14ac:dyDescent="0.3">
      <c r="A512" s="1">
        <v>43842</v>
      </c>
      <c r="B512" s="5">
        <v>3385</v>
      </c>
      <c r="C512" s="3">
        <v>-4.4000000000000003E-3</v>
      </c>
      <c r="D512" s="5">
        <v>1656.04</v>
      </c>
      <c r="E512" s="6">
        <f t="shared" si="31"/>
        <v>6.7072323300676473E-4</v>
      </c>
      <c r="F512" s="7">
        <v>4.0849999999999997E-2</v>
      </c>
      <c r="G512" s="7">
        <f t="shared" si="28"/>
        <v>7.7025201167857382E-4</v>
      </c>
      <c r="H512" s="9">
        <f t="shared" si="29"/>
        <v>-5.1702520116785741E-3</v>
      </c>
      <c r="I512" s="11">
        <f t="shared" si="30"/>
        <v>-9.9528778671809093E-5</v>
      </c>
    </row>
    <row r="513" spans="1:9" x14ac:dyDescent="0.3">
      <c r="A513" s="1">
        <v>43849</v>
      </c>
      <c r="B513" s="5">
        <v>3290</v>
      </c>
      <c r="C513" s="3">
        <v>-2.81E-2</v>
      </c>
      <c r="D513" s="5">
        <v>1647.91</v>
      </c>
      <c r="E513" s="6">
        <f t="shared" si="31"/>
        <v>-4.9093017076881074E-3</v>
      </c>
      <c r="F513" s="7">
        <v>0.04</v>
      </c>
      <c r="G513" s="7">
        <f t="shared" si="28"/>
        <v>7.5452899761407899E-4</v>
      </c>
      <c r="H513" s="9">
        <f t="shared" si="29"/>
        <v>-2.8854528997614079E-2</v>
      </c>
      <c r="I513" s="11">
        <f t="shared" si="30"/>
        <v>-5.6638307053021864E-3</v>
      </c>
    </row>
    <row r="514" spans="1:9" x14ac:dyDescent="0.3">
      <c r="A514" s="1">
        <v>43856</v>
      </c>
      <c r="B514" s="5">
        <v>3180</v>
      </c>
      <c r="C514" s="3">
        <v>-3.3399999999999999E-2</v>
      </c>
      <c r="D514" s="5">
        <v>1623.83</v>
      </c>
      <c r="E514" s="6">
        <f t="shared" si="31"/>
        <v>-1.4612448495366914E-2</v>
      </c>
      <c r="F514" s="7">
        <v>4.2999999999999997E-2</v>
      </c>
      <c r="G514" s="7">
        <f t="shared" si="28"/>
        <v>8.0996584567682994E-4</v>
      </c>
      <c r="H514" s="9">
        <f t="shared" si="29"/>
        <v>-3.4209965845676829E-2</v>
      </c>
      <c r="I514" s="11">
        <f t="shared" si="30"/>
        <v>-1.5422414341043744E-2</v>
      </c>
    </row>
    <row r="515" spans="1:9" x14ac:dyDescent="0.3">
      <c r="A515" s="1">
        <v>43863</v>
      </c>
      <c r="B515" s="5">
        <v>3215</v>
      </c>
      <c r="C515" s="3">
        <v>1.0999999999999999E-2</v>
      </c>
      <c r="D515" s="5">
        <v>1654.7</v>
      </c>
      <c r="E515" s="6">
        <f t="shared" si="31"/>
        <v>1.9010610716639231E-2</v>
      </c>
      <c r="F515" s="7">
        <v>4.2699999999999995E-2</v>
      </c>
      <c r="G515" s="7">
        <f t="shared" ref="G515:G578" si="32">(1+F515)^(1/52)-1</f>
        <v>8.0442920309375943E-4</v>
      </c>
      <c r="H515" s="9">
        <f t="shared" ref="H515:H578" si="33">C515-G515</f>
        <v>1.019557079690624E-2</v>
      </c>
      <c r="I515" s="11">
        <f t="shared" ref="I515:I578" si="34">E515-G515</f>
        <v>1.8206181513545472E-2</v>
      </c>
    </row>
    <row r="516" spans="1:9" x14ac:dyDescent="0.3">
      <c r="A516" s="1">
        <v>43870</v>
      </c>
      <c r="B516" s="5">
        <v>3325</v>
      </c>
      <c r="C516" s="3">
        <v>3.4200000000000001E-2</v>
      </c>
      <c r="D516" s="5">
        <v>1664.4</v>
      </c>
      <c r="E516" s="6">
        <f t="shared" ref="E516:E542" si="35">D516/D515-1</f>
        <v>5.8620898047985204E-3</v>
      </c>
      <c r="F516" s="7">
        <v>4.3700000000000003E-2</v>
      </c>
      <c r="G516" s="7">
        <f t="shared" si="32"/>
        <v>8.2287860675034352E-4</v>
      </c>
      <c r="H516" s="9">
        <f t="shared" si="33"/>
        <v>3.3377121393249658E-2</v>
      </c>
      <c r="I516" s="11">
        <f t="shared" si="34"/>
        <v>5.0392111980481769E-3</v>
      </c>
    </row>
    <row r="517" spans="1:9" x14ac:dyDescent="0.3">
      <c r="A517" s="1">
        <v>43877</v>
      </c>
      <c r="B517" s="5">
        <v>3425</v>
      </c>
      <c r="C517" s="3">
        <v>3.0099999999999998E-2</v>
      </c>
      <c r="D517" s="5">
        <v>1631.45</v>
      </c>
      <c r="E517" s="6">
        <f t="shared" si="35"/>
        <v>-1.9796923816390311E-2</v>
      </c>
      <c r="F517" s="7">
        <v>4.9100000000000005E-2</v>
      </c>
      <c r="G517" s="7">
        <f t="shared" si="32"/>
        <v>9.2220677439969201E-4</v>
      </c>
      <c r="H517" s="9">
        <f t="shared" si="33"/>
        <v>2.9177793225600306E-2</v>
      </c>
      <c r="I517" s="11">
        <f t="shared" si="34"/>
        <v>-2.0719130590790003E-2</v>
      </c>
    </row>
    <row r="518" spans="1:9" x14ac:dyDescent="0.3">
      <c r="A518" s="1">
        <v>43884</v>
      </c>
      <c r="B518" s="5">
        <v>3105</v>
      </c>
      <c r="C518" s="3">
        <v>-9.3399999999999997E-2</v>
      </c>
      <c r="D518" s="5">
        <v>1549.61</v>
      </c>
      <c r="E518" s="6">
        <f t="shared" si="35"/>
        <v>-5.0163964571393604E-2</v>
      </c>
      <c r="F518" s="7">
        <v>5.1100000000000007E-2</v>
      </c>
      <c r="G518" s="7">
        <f t="shared" si="32"/>
        <v>9.5886778249920646E-4</v>
      </c>
      <c r="H518" s="9">
        <f t="shared" si="33"/>
        <v>-9.4358867782499203E-2</v>
      </c>
      <c r="I518" s="11">
        <f t="shared" si="34"/>
        <v>-5.1122832353892811E-2</v>
      </c>
    </row>
    <row r="519" spans="1:9" x14ac:dyDescent="0.3">
      <c r="A519" s="1">
        <v>43891</v>
      </c>
      <c r="B519" s="5">
        <v>2965</v>
      </c>
      <c r="C519" s="3">
        <v>-4.5100000000000001E-2</v>
      </c>
      <c r="D519" s="5">
        <v>1502.84</v>
      </c>
      <c r="E519" s="6">
        <f t="shared" si="35"/>
        <v>-3.018178767560864E-2</v>
      </c>
      <c r="F519" s="7">
        <v>4.9489999999999999E-2</v>
      </c>
      <c r="G519" s="7">
        <f t="shared" si="32"/>
        <v>9.2936104795082741E-4</v>
      </c>
      <c r="H519" s="9">
        <f t="shared" si="33"/>
        <v>-4.6029361047950829E-2</v>
      </c>
      <c r="I519" s="11">
        <f t="shared" si="34"/>
        <v>-3.1111148723559467E-2</v>
      </c>
    </row>
    <row r="520" spans="1:9" x14ac:dyDescent="0.3">
      <c r="A520" s="1">
        <v>43898</v>
      </c>
      <c r="B520" s="5">
        <v>1940</v>
      </c>
      <c r="C520" s="3">
        <v>-0.34570000000000001</v>
      </c>
      <c r="D520" s="5">
        <v>1174.31</v>
      </c>
      <c r="E520" s="6">
        <f t="shared" si="35"/>
        <v>-0.2186061057730696</v>
      </c>
      <c r="F520" s="7">
        <v>7.2000000000000008E-2</v>
      </c>
      <c r="G520" s="7">
        <f t="shared" si="32"/>
        <v>1.3379339023527059E-3</v>
      </c>
      <c r="H520" s="9">
        <f t="shared" si="33"/>
        <v>-0.34703793390235271</v>
      </c>
      <c r="I520" s="11">
        <f t="shared" si="34"/>
        <v>-0.21994403967542231</v>
      </c>
    </row>
    <row r="521" spans="1:9" x14ac:dyDescent="0.3">
      <c r="A521" s="1">
        <v>43905</v>
      </c>
      <c r="B521" s="5">
        <v>1485</v>
      </c>
      <c r="C521" s="3">
        <v>-0.23449999999999999</v>
      </c>
      <c r="D521" s="4">
        <v>919.59</v>
      </c>
      <c r="E521" s="6">
        <f t="shared" si="35"/>
        <v>-0.21691035586855256</v>
      </c>
      <c r="F521" s="7">
        <v>7.2999999999999995E-2</v>
      </c>
      <c r="G521" s="7">
        <f t="shared" si="32"/>
        <v>1.3558888419957782E-3</v>
      </c>
      <c r="H521" s="9">
        <f t="shared" si="33"/>
        <v>-0.23585588884199576</v>
      </c>
      <c r="I521" s="11">
        <f t="shared" si="34"/>
        <v>-0.21826624471054834</v>
      </c>
    </row>
    <row r="522" spans="1:9" x14ac:dyDescent="0.3">
      <c r="A522" s="1">
        <v>43912</v>
      </c>
      <c r="B522" s="5">
        <v>1860</v>
      </c>
      <c r="C522" s="3">
        <v>0.2525</v>
      </c>
      <c r="D522" s="5">
        <v>1147.54</v>
      </c>
      <c r="E522" s="6">
        <f t="shared" si="35"/>
        <v>0.2478822083754717</v>
      </c>
      <c r="F522" s="7">
        <v>5.9000000000000004E-2</v>
      </c>
      <c r="G522" s="7">
        <f t="shared" si="32"/>
        <v>1.1030129991791426E-3</v>
      </c>
      <c r="H522" s="9">
        <f t="shared" si="33"/>
        <v>0.25139698700082086</v>
      </c>
      <c r="I522" s="11">
        <f t="shared" si="34"/>
        <v>0.24677919537629256</v>
      </c>
    </row>
    <row r="523" spans="1:9" x14ac:dyDescent="0.3">
      <c r="A523" s="1">
        <v>43919</v>
      </c>
      <c r="B523" s="5">
        <v>2270</v>
      </c>
      <c r="C523" s="3">
        <v>0.22040000000000001</v>
      </c>
      <c r="D523" s="5">
        <v>1127.55</v>
      </c>
      <c r="E523" s="6">
        <f t="shared" si="35"/>
        <v>-1.7419872074176057E-2</v>
      </c>
      <c r="F523" s="7">
        <v>6.3E-2</v>
      </c>
      <c r="G523" s="7">
        <f t="shared" si="32"/>
        <v>1.1755962290749267E-3</v>
      </c>
      <c r="H523" s="9">
        <f t="shared" si="33"/>
        <v>0.21922440377092509</v>
      </c>
      <c r="I523" s="11">
        <f t="shared" si="34"/>
        <v>-1.8595468303250984E-2</v>
      </c>
    </row>
    <row r="524" spans="1:9" x14ac:dyDescent="0.3">
      <c r="A524" s="1">
        <v>43926</v>
      </c>
      <c r="B524" s="5">
        <v>2360</v>
      </c>
      <c r="C524" s="3">
        <v>3.9600000000000003E-2</v>
      </c>
      <c r="D524" s="5">
        <v>1187.1300000000001</v>
      </c>
      <c r="E524" s="6">
        <f t="shared" si="35"/>
        <v>5.2840228814686752E-2</v>
      </c>
      <c r="F524" s="7">
        <v>6.25E-2</v>
      </c>
      <c r="G524" s="7">
        <f t="shared" si="32"/>
        <v>1.1665379886105498E-3</v>
      </c>
      <c r="H524" s="9">
        <f t="shared" si="33"/>
        <v>3.8433462011389453E-2</v>
      </c>
      <c r="I524" s="11">
        <f t="shared" si="34"/>
        <v>5.1673690826076202E-2</v>
      </c>
    </row>
    <row r="525" spans="1:9" x14ac:dyDescent="0.3">
      <c r="A525" s="1">
        <v>43933</v>
      </c>
      <c r="B525" s="5">
        <v>1950</v>
      </c>
      <c r="C525" s="3">
        <v>-0.17369999999999999</v>
      </c>
      <c r="D525" s="5">
        <v>1192.08</v>
      </c>
      <c r="E525" s="6">
        <f t="shared" si="35"/>
        <v>4.1697202496775443E-3</v>
      </c>
      <c r="F525" s="7">
        <v>5.33E-2</v>
      </c>
      <c r="G525" s="7">
        <f t="shared" si="32"/>
        <v>9.9911595453572311E-4</v>
      </c>
      <c r="H525" s="9">
        <f t="shared" si="33"/>
        <v>-0.17469911595453572</v>
      </c>
      <c r="I525" s="11">
        <f t="shared" si="34"/>
        <v>3.1706042951418212E-3</v>
      </c>
    </row>
    <row r="526" spans="1:9" x14ac:dyDescent="0.3">
      <c r="A526" s="1">
        <v>43940</v>
      </c>
      <c r="B526" s="5">
        <v>1910</v>
      </c>
      <c r="C526" s="3">
        <v>-2.0500000000000001E-2</v>
      </c>
      <c r="D526" s="5">
        <v>1122.3699999999999</v>
      </c>
      <c r="E526" s="6">
        <f t="shared" si="35"/>
        <v>-5.8477618951748189E-2</v>
      </c>
      <c r="F526" s="7">
        <v>5.2549999999999999E-2</v>
      </c>
      <c r="G526" s="7">
        <f t="shared" si="32"/>
        <v>9.8540425714310764E-4</v>
      </c>
      <c r="H526" s="9">
        <f t="shared" si="33"/>
        <v>-2.1485404257143109E-2</v>
      </c>
      <c r="I526" s="11">
        <f t="shared" si="34"/>
        <v>-5.9463023208891297E-2</v>
      </c>
    </row>
    <row r="527" spans="1:9" x14ac:dyDescent="0.3">
      <c r="A527" s="1">
        <v>43947</v>
      </c>
      <c r="B527" s="5">
        <v>2090</v>
      </c>
      <c r="C527" s="3">
        <v>9.4200000000000006E-2</v>
      </c>
      <c r="D527" s="5">
        <v>1142.04</v>
      </c>
      <c r="E527" s="6">
        <f t="shared" si="35"/>
        <v>1.7525414970108066E-2</v>
      </c>
      <c r="F527" s="7">
        <v>5.2080000000000001E-2</v>
      </c>
      <c r="G527" s="7">
        <f t="shared" si="32"/>
        <v>9.7680670852606788E-4</v>
      </c>
      <c r="H527" s="9">
        <f t="shared" si="33"/>
        <v>9.3223193291473938E-2</v>
      </c>
      <c r="I527" s="11">
        <f t="shared" si="34"/>
        <v>1.6548608261581998E-2</v>
      </c>
    </row>
    <row r="528" spans="1:9" x14ac:dyDescent="0.3">
      <c r="A528" s="1">
        <v>43954</v>
      </c>
      <c r="B528" s="5">
        <v>2040</v>
      </c>
      <c r="C528" s="3">
        <v>-2.3900000000000001E-2</v>
      </c>
      <c r="D528" s="5">
        <v>1110.26</v>
      </c>
      <c r="E528" s="6">
        <f t="shared" si="35"/>
        <v>-2.7827396588560815E-2</v>
      </c>
      <c r="F528" s="7">
        <v>4.5899999999999996E-2</v>
      </c>
      <c r="G528" s="7">
        <f t="shared" si="32"/>
        <v>8.6340634350334788E-4</v>
      </c>
      <c r="H528" s="9">
        <f t="shared" si="33"/>
        <v>-2.4763406343503349E-2</v>
      </c>
      <c r="I528" s="11">
        <f t="shared" si="34"/>
        <v>-2.8690802932064163E-2</v>
      </c>
    </row>
    <row r="529" spans="1:9" x14ac:dyDescent="0.3">
      <c r="A529" s="1">
        <v>43961</v>
      </c>
      <c r="B529" s="5">
        <v>1930</v>
      </c>
      <c r="C529" s="3">
        <v>-5.3900000000000003E-2</v>
      </c>
      <c r="D529" s="5">
        <v>1053.75</v>
      </c>
      <c r="E529" s="6">
        <f t="shared" si="35"/>
        <v>-5.0897987858699811E-2</v>
      </c>
      <c r="F529" s="7">
        <v>4.4519999999999997E-2</v>
      </c>
      <c r="G529" s="7">
        <f t="shared" si="32"/>
        <v>8.3799418549523885E-4</v>
      </c>
      <c r="H529" s="9">
        <f t="shared" si="33"/>
        <v>-5.4737994185495242E-2</v>
      </c>
      <c r="I529" s="11">
        <f t="shared" si="34"/>
        <v>-5.173598204419505E-2</v>
      </c>
    </row>
    <row r="530" spans="1:9" x14ac:dyDescent="0.3">
      <c r="A530" s="1">
        <v>43968</v>
      </c>
      <c r="B530" s="5">
        <v>1970</v>
      </c>
      <c r="C530" s="3">
        <v>2.07E-2</v>
      </c>
      <c r="D530" s="5">
        <v>1057.6600000000001</v>
      </c>
      <c r="E530" s="6">
        <f t="shared" si="35"/>
        <v>3.7105575326217277E-3</v>
      </c>
      <c r="F530" s="7">
        <v>4.0500000000000001E-2</v>
      </c>
      <c r="G530" s="7">
        <f t="shared" si="32"/>
        <v>7.6377935508586958E-4</v>
      </c>
      <c r="H530" s="9">
        <f t="shared" si="33"/>
        <v>1.993622064491413E-2</v>
      </c>
      <c r="I530" s="11">
        <f t="shared" si="34"/>
        <v>2.9467781775358581E-3</v>
      </c>
    </row>
    <row r="531" spans="1:9" x14ac:dyDescent="0.3">
      <c r="A531" s="1">
        <v>43975</v>
      </c>
      <c r="B531" s="5">
        <v>1990</v>
      </c>
      <c r="C531" s="3">
        <v>1.0200000000000001E-2</v>
      </c>
      <c r="D531" s="5">
        <v>1095.8399999999999</v>
      </c>
      <c r="E531" s="6">
        <f t="shared" si="35"/>
        <v>3.6098557192292269E-2</v>
      </c>
      <c r="F531" s="7">
        <v>3.95E-2</v>
      </c>
      <c r="G531" s="7">
        <f t="shared" si="32"/>
        <v>7.4527427735104901E-4</v>
      </c>
      <c r="H531" s="9">
        <f t="shared" si="33"/>
        <v>9.4547257226489517E-3</v>
      </c>
      <c r="I531" s="11">
        <f t="shared" si="34"/>
        <v>3.535328291494122E-2</v>
      </c>
    </row>
    <row r="532" spans="1:9" x14ac:dyDescent="0.3">
      <c r="A532" s="1">
        <v>43982</v>
      </c>
      <c r="B532" s="5">
        <v>2345</v>
      </c>
      <c r="C532" s="3">
        <v>0.1784</v>
      </c>
      <c r="D532" s="5">
        <v>1203.07</v>
      </c>
      <c r="E532" s="6">
        <f t="shared" si="35"/>
        <v>9.7851876186304532E-2</v>
      </c>
      <c r="F532" s="7">
        <v>4.0340000000000001E-2</v>
      </c>
      <c r="G532" s="7">
        <f t="shared" si="32"/>
        <v>7.608197151134366E-4</v>
      </c>
      <c r="H532" s="9">
        <f t="shared" si="33"/>
        <v>0.17763918028488657</v>
      </c>
      <c r="I532" s="11">
        <f t="shared" si="34"/>
        <v>9.7091056471191095E-2</v>
      </c>
    </row>
    <row r="533" spans="1:9" x14ac:dyDescent="0.3">
      <c r="A533" s="1">
        <v>43989</v>
      </c>
      <c r="B533" s="5">
        <v>2125</v>
      </c>
      <c r="C533" s="3">
        <v>-9.3799999999999994E-2</v>
      </c>
      <c r="D533" s="5">
        <v>1143.1300000000001</v>
      </c>
      <c r="E533" s="6">
        <f t="shared" si="35"/>
        <v>-4.9822537341966622E-2</v>
      </c>
      <c r="F533" s="7">
        <v>4.2950000000000002E-2</v>
      </c>
      <c r="G533" s="7">
        <f t="shared" si="32"/>
        <v>8.0904318038621525E-4</v>
      </c>
      <c r="H533" s="9">
        <f t="shared" si="33"/>
        <v>-9.460904318038621E-2</v>
      </c>
      <c r="I533" s="11">
        <f t="shared" si="34"/>
        <v>-5.0631580522352837E-2</v>
      </c>
    </row>
    <row r="534" spans="1:9" x14ac:dyDescent="0.3">
      <c r="A534" s="1">
        <v>43996</v>
      </c>
      <c r="B534" s="5">
        <v>2140</v>
      </c>
      <c r="C534" s="3">
        <v>7.1000000000000004E-3</v>
      </c>
      <c r="D534" s="5">
        <v>1161.4100000000001</v>
      </c>
      <c r="E534" s="6">
        <f t="shared" si="35"/>
        <v>1.5991182105272284E-2</v>
      </c>
      <c r="F534" s="7">
        <v>4.6900000000000004E-2</v>
      </c>
      <c r="G534" s="7">
        <f t="shared" si="32"/>
        <v>8.818004103317012E-4</v>
      </c>
      <c r="H534" s="9">
        <f t="shared" si="33"/>
        <v>6.2181995896682992E-3</v>
      </c>
      <c r="I534" s="11">
        <f t="shared" si="34"/>
        <v>1.5109381694940582E-2</v>
      </c>
    </row>
    <row r="535" spans="1:9" x14ac:dyDescent="0.3">
      <c r="A535" s="1">
        <v>44003</v>
      </c>
      <c r="B535" s="5">
        <v>2070</v>
      </c>
      <c r="C535" s="3">
        <v>-3.27E-2</v>
      </c>
      <c r="D535" s="5">
        <v>1110.6500000000001</v>
      </c>
      <c r="E535" s="6">
        <f t="shared" si="35"/>
        <v>-4.3705495905838609E-2</v>
      </c>
      <c r="F535" s="7">
        <v>4.6500000000000007E-2</v>
      </c>
      <c r="G535" s="7">
        <f t="shared" si="32"/>
        <v>8.7444485231569224E-4</v>
      </c>
      <c r="H535" s="9">
        <f t="shared" si="33"/>
        <v>-3.3574444852315692E-2</v>
      </c>
      <c r="I535" s="11">
        <f t="shared" si="34"/>
        <v>-4.4579940758154302E-2</v>
      </c>
    </row>
    <row r="536" spans="1:9" x14ac:dyDescent="0.3">
      <c r="A536" s="1">
        <v>44010</v>
      </c>
      <c r="B536" s="5">
        <v>2100</v>
      </c>
      <c r="C536" s="3">
        <v>1.4500000000000001E-2</v>
      </c>
      <c r="D536" s="5">
        <v>1125.26</v>
      </c>
      <c r="E536" s="6">
        <f t="shared" si="35"/>
        <v>1.3154459100526594E-2</v>
      </c>
      <c r="F536" s="7">
        <v>4.2480000000000004E-2</v>
      </c>
      <c r="G536" s="7">
        <f t="shared" si="32"/>
        <v>8.003680054899931E-4</v>
      </c>
      <c r="H536" s="9">
        <f t="shared" si="33"/>
        <v>1.3699631994510008E-2</v>
      </c>
      <c r="I536" s="11">
        <f t="shared" si="34"/>
        <v>1.2354091095036601E-2</v>
      </c>
    </row>
    <row r="537" spans="1:9" x14ac:dyDescent="0.3">
      <c r="A537" s="1">
        <v>44017</v>
      </c>
      <c r="B537" s="5">
        <v>2080</v>
      </c>
      <c r="C537" s="3">
        <v>-9.4999999999999998E-3</v>
      </c>
      <c r="D537" s="5">
        <v>1147.78</v>
      </c>
      <c r="E537" s="6">
        <f t="shared" si="35"/>
        <v>2.0013152515862886E-2</v>
      </c>
      <c r="F537" s="7">
        <v>4.1250000000000002E-2</v>
      </c>
      <c r="G537" s="7">
        <f t="shared" si="32"/>
        <v>7.7764672013991287E-4</v>
      </c>
      <c r="H537" s="9">
        <f t="shared" si="33"/>
        <v>-1.0277646720139913E-2</v>
      </c>
      <c r="I537" s="11">
        <f t="shared" si="34"/>
        <v>1.9235505795722974E-2</v>
      </c>
    </row>
    <row r="538" spans="1:9" x14ac:dyDescent="0.3">
      <c r="A538" s="1">
        <v>44024</v>
      </c>
      <c r="B538" s="5">
        <v>2220</v>
      </c>
      <c r="C538" s="3">
        <v>6.7299999999999999E-2</v>
      </c>
      <c r="D538" s="5">
        <v>1156.1600000000001</v>
      </c>
      <c r="E538" s="6">
        <f t="shared" si="35"/>
        <v>7.3010507240063305E-3</v>
      </c>
      <c r="F538" s="7">
        <v>4.0750000000000001E-2</v>
      </c>
      <c r="G538" s="7">
        <f t="shared" si="32"/>
        <v>7.6840289907265102E-4</v>
      </c>
      <c r="H538" s="9">
        <f t="shared" si="33"/>
        <v>6.6531597100927348E-2</v>
      </c>
      <c r="I538" s="11">
        <f t="shared" si="34"/>
        <v>6.5326478249336795E-3</v>
      </c>
    </row>
    <row r="539" spans="1:9" x14ac:dyDescent="0.3">
      <c r="A539" s="1">
        <v>44031</v>
      </c>
      <c r="B539" s="5">
        <v>2220</v>
      </c>
      <c r="C539" s="3">
        <v>0</v>
      </c>
      <c r="D539" s="5">
        <v>1173.93</v>
      </c>
      <c r="E539" s="6">
        <f t="shared" si="35"/>
        <v>1.5369845004151728E-2</v>
      </c>
      <c r="F539" s="7">
        <v>4.0999999999999995E-2</v>
      </c>
      <c r="G539" s="7">
        <f t="shared" si="32"/>
        <v>7.7302535391798877E-4</v>
      </c>
      <c r="H539" s="9">
        <f t="shared" si="33"/>
        <v>-7.7302535391798877E-4</v>
      </c>
      <c r="I539" s="11">
        <f t="shared" si="34"/>
        <v>1.4596819650233739E-2</v>
      </c>
    </row>
    <row r="540" spans="1:9" x14ac:dyDescent="0.3">
      <c r="A540" s="1">
        <v>44038</v>
      </c>
      <c r="B540" s="5">
        <v>2080</v>
      </c>
      <c r="C540" s="3">
        <v>-6.3100000000000003E-2</v>
      </c>
      <c r="D540" s="5">
        <v>1134.3399999999999</v>
      </c>
      <c r="E540" s="6">
        <f t="shared" si="35"/>
        <v>-3.3724327685637268E-2</v>
      </c>
      <c r="F540" s="7">
        <v>4.0849999999999997E-2</v>
      </c>
      <c r="G540" s="7">
        <f t="shared" si="32"/>
        <v>7.7025201167857382E-4</v>
      </c>
      <c r="H540" s="9">
        <f t="shared" si="33"/>
        <v>-6.3870252011678577E-2</v>
      </c>
      <c r="I540" s="11">
        <f t="shared" si="34"/>
        <v>-3.4494579697315841E-2</v>
      </c>
    </row>
    <row r="541" spans="1:9" x14ac:dyDescent="0.3">
      <c r="A541" s="1">
        <v>44045</v>
      </c>
      <c r="B541" s="5">
        <v>2170</v>
      </c>
      <c r="C541" s="3">
        <v>4.3299999999999998E-2</v>
      </c>
      <c r="D541" s="5">
        <v>1142.18</v>
      </c>
      <c r="E541" s="6">
        <f t="shared" si="35"/>
        <v>6.9115080134705131E-3</v>
      </c>
      <c r="F541" s="7">
        <v>0.04</v>
      </c>
      <c r="G541" s="7">
        <f t="shared" si="32"/>
        <v>7.5452899761407899E-4</v>
      </c>
      <c r="H541" s="9">
        <f t="shared" si="33"/>
        <v>4.2545471002385919E-2</v>
      </c>
      <c r="I541" s="11">
        <f t="shared" si="34"/>
        <v>6.1569790158564341E-3</v>
      </c>
    </row>
    <row r="542" spans="1:9" x14ac:dyDescent="0.3">
      <c r="A542" s="1">
        <v>44052</v>
      </c>
      <c r="B542" s="5">
        <v>2200</v>
      </c>
      <c r="C542" s="3">
        <v>1.38E-2</v>
      </c>
      <c r="D542" s="5">
        <v>1153.28</v>
      </c>
      <c r="E542" s="6">
        <f t="shared" si="35"/>
        <v>9.7182580679051611E-3</v>
      </c>
      <c r="F542" s="7">
        <v>4.2999999999999997E-2</v>
      </c>
      <c r="G542" s="7">
        <f t="shared" si="32"/>
        <v>8.0996584567682994E-4</v>
      </c>
      <c r="H542" s="9">
        <f t="shared" si="33"/>
        <v>1.299003415432317E-2</v>
      </c>
      <c r="I542" s="11">
        <f t="shared" si="34"/>
        <v>8.9082922222283312E-3</v>
      </c>
    </row>
    <row r="543" spans="1:9" x14ac:dyDescent="0.3">
      <c r="A543" s="1">
        <v>44059</v>
      </c>
      <c r="B543" s="5">
        <v>2180</v>
      </c>
      <c r="C543" s="3">
        <v>-9.1000000000000004E-3</v>
      </c>
      <c r="D543" s="5">
        <v>1186.29</v>
      </c>
      <c r="E543" s="6">
        <v>2.86E-2</v>
      </c>
      <c r="F543" s="7">
        <v>4.2699999999999995E-2</v>
      </c>
      <c r="G543" s="7">
        <f t="shared" si="32"/>
        <v>8.0442920309375943E-4</v>
      </c>
      <c r="H543" s="9">
        <f t="shared" si="33"/>
        <v>-9.9044292030937599E-3</v>
      </c>
      <c r="I543" s="11">
        <f t="shared" si="34"/>
        <v>2.7795570796906241E-2</v>
      </c>
    </row>
    <row r="544" spans="1:9" x14ac:dyDescent="0.3">
      <c r="A544" s="1">
        <v>44066</v>
      </c>
      <c r="B544" s="5">
        <v>2175</v>
      </c>
      <c r="C544" s="3">
        <v>-2.3E-3</v>
      </c>
      <c r="D544" s="5">
        <v>1226.21</v>
      </c>
      <c r="E544" s="6">
        <v>3.3700000000000001E-2</v>
      </c>
      <c r="F544" s="7">
        <v>4.376E-2</v>
      </c>
      <c r="G544" s="7">
        <f t="shared" si="32"/>
        <v>8.239850195848053E-4</v>
      </c>
      <c r="H544" s="9">
        <f t="shared" si="33"/>
        <v>-3.1239850195848053E-3</v>
      </c>
      <c r="I544" s="11">
        <f t="shared" si="34"/>
        <v>3.2876014980415195E-2</v>
      </c>
    </row>
    <row r="545" spans="1:9" x14ac:dyDescent="0.3">
      <c r="A545" s="1">
        <v>44073</v>
      </c>
      <c r="B545" s="5">
        <v>2145</v>
      </c>
      <c r="C545" s="3">
        <v>-1.38E-2</v>
      </c>
      <c r="D545" s="5">
        <v>1240.24</v>
      </c>
      <c r="E545" s="6">
        <v>1.14E-2</v>
      </c>
      <c r="F545" s="7">
        <v>4.1700000000000001E-2</v>
      </c>
      <c r="G545" s="7">
        <f t="shared" si="32"/>
        <v>7.8596243766093643E-4</v>
      </c>
      <c r="H545" s="9">
        <f t="shared" si="33"/>
        <v>-1.4585962437660936E-2</v>
      </c>
      <c r="I545" s="11">
        <f t="shared" si="34"/>
        <v>1.0614037562339064E-2</v>
      </c>
    </row>
    <row r="546" spans="1:9" x14ac:dyDescent="0.3">
      <c r="A546" s="1">
        <v>44080</v>
      </c>
      <c r="B546" s="5">
        <v>2025</v>
      </c>
      <c r="C546" s="3">
        <v>-5.5899999999999998E-2</v>
      </c>
      <c r="D546" s="5">
        <v>1212.45</v>
      </c>
      <c r="E546" s="6">
        <v>-2.24E-2</v>
      </c>
      <c r="F546" s="7">
        <v>4.1900000000000007E-2</v>
      </c>
      <c r="G546" s="7">
        <f t="shared" si="32"/>
        <v>7.8965718127355089E-4</v>
      </c>
      <c r="H546" s="9">
        <f t="shared" si="33"/>
        <v>-5.6689657181273549E-2</v>
      </c>
      <c r="I546" s="11">
        <f t="shared" si="34"/>
        <v>-2.3189657181273551E-2</v>
      </c>
    </row>
    <row r="547" spans="1:9" x14ac:dyDescent="0.3">
      <c r="A547" s="1">
        <v>44087</v>
      </c>
      <c r="B547" s="5">
        <v>2115</v>
      </c>
      <c r="C547" s="3">
        <v>4.4400000000000002E-2</v>
      </c>
      <c r="D547" s="5">
        <v>1206.55</v>
      </c>
      <c r="E547" s="6">
        <v>-4.8999999999999998E-3</v>
      </c>
      <c r="F547" s="7">
        <v>4.1399999999999999E-2</v>
      </c>
      <c r="G547" s="7">
        <f t="shared" si="32"/>
        <v>7.8041901754932752E-4</v>
      </c>
      <c r="H547" s="9">
        <f t="shared" si="33"/>
        <v>4.3619580982450674E-2</v>
      </c>
      <c r="I547" s="11">
        <f t="shared" si="34"/>
        <v>-5.6804190175493274E-3</v>
      </c>
    </row>
    <row r="548" spans="1:9" x14ac:dyDescent="0.3">
      <c r="A548" s="1">
        <v>44094</v>
      </c>
      <c r="B548" s="5">
        <v>1920</v>
      </c>
      <c r="C548" s="3">
        <v>-9.2200000000000004E-2</v>
      </c>
      <c r="D548" s="5">
        <v>1171.3499999999999</v>
      </c>
      <c r="E548" s="6">
        <v>-2.92E-2</v>
      </c>
      <c r="F548" s="7">
        <v>4.2839999999999996E-2</v>
      </c>
      <c r="G548" s="7">
        <f t="shared" si="32"/>
        <v>8.0701316403009038E-4</v>
      </c>
      <c r="H548" s="9">
        <f t="shared" si="33"/>
        <v>-9.3007013164030095E-2</v>
      </c>
      <c r="I548" s="11">
        <f t="shared" si="34"/>
        <v>-3.0007013164030091E-2</v>
      </c>
    </row>
    <row r="549" spans="1:9" x14ac:dyDescent="0.3">
      <c r="A549" s="1">
        <v>44101</v>
      </c>
      <c r="B549" s="5">
        <v>1910</v>
      </c>
      <c r="C549" s="3">
        <v>-5.1999999999999998E-3</v>
      </c>
      <c r="D549" s="5">
        <v>1165.01</v>
      </c>
      <c r="E549" s="6">
        <v>-5.4000000000000003E-3</v>
      </c>
      <c r="F549" s="7">
        <v>4.165E-2</v>
      </c>
      <c r="G549" s="7">
        <f t="shared" si="32"/>
        <v>7.8503864305057292E-4</v>
      </c>
      <c r="H549" s="9">
        <f t="shared" si="33"/>
        <v>-5.9850386430505727E-3</v>
      </c>
      <c r="I549" s="11">
        <f t="shared" si="34"/>
        <v>-6.1850386430505732E-3</v>
      </c>
    </row>
    <row r="550" spans="1:9" x14ac:dyDescent="0.3">
      <c r="A550" s="1">
        <v>44108</v>
      </c>
      <c r="B550" s="5">
        <v>1938</v>
      </c>
      <c r="C550" s="3">
        <v>1.47E-2</v>
      </c>
      <c r="D550" s="5">
        <v>1190.01</v>
      </c>
      <c r="E550" s="6">
        <v>2.1499999999999998E-2</v>
      </c>
      <c r="F550" s="7">
        <v>4.2199999999999994E-2</v>
      </c>
      <c r="G550" s="7">
        <f t="shared" si="32"/>
        <v>7.9519799266147828E-4</v>
      </c>
      <c r="H550" s="9">
        <f t="shared" si="33"/>
        <v>1.3904802007338521E-2</v>
      </c>
      <c r="I550" s="11">
        <f t="shared" si="34"/>
        <v>2.070480200733852E-2</v>
      </c>
    </row>
    <row r="551" spans="1:9" x14ac:dyDescent="0.3">
      <c r="A551" s="1">
        <v>44115</v>
      </c>
      <c r="B551" s="5">
        <v>1880</v>
      </c>
      <c r="C551" s="3">
        <v>-2.9899999999999999E-2</v>
      </c>
      <c r="D551" s="5">
        <v>1171.8</v>
      </c>
      <c r="E551" s="6">
        <v>-1.5299999999999999E-2</v>
      </c>
      <c r="F551" s="7">
        <v>4.1489999999999999E-2</v>
      </c>
      <c r="G551" s="7">
        <f t="shared" si="32"/>
        <v>7.8208220801689876E-4</v>
      </c>
      <c r="H551" s="9">
        <f t="shared" si="33"/>
        <v>-3.0682082208016898E-2</v>
      </c>
      <c r="I551" s="11">
        <f t="shared" si="34"/>
        <v>-1.60820822080169E-2</v>
      </c>
    </row>
    <row r="552" spans="1:9" x14ac:dyDescent="0.3">
      <c r="A552" s="1">
        <v>44122</v>
      </c>
      <c r="B552" s="5">
        <v>1860</v>
      </c>
      <c r="C552" s="3">
        <v>-1.06E-2</v>
      </c>
      <c r="D552" s="5">
        <v>1175.33</v>
      </c>
      <c r="E552" s="6">
        <v>3.0000000000000001E-3</v>
      </c>
      <c r="F552" s="7">
        <v>4.1769999999999995E-2</v>
      </c>
      <c r="G552" s="7">
        <f t="shared" si="32"/>
        <v>7.8725567705806299E-4</v>
      </c>
      <c r="H552" s="9">
        <f t="shared" si="33"/>
        <v>-1.1387255677058063E-2</v>
      </c>
      <c r="I552" s="11">
        <f t="shared" si="34"/>
        <v>2.2127443229419371E-3</v>
      </c>
    </row>
    <row r="553" spans="1:9" x14ac:dyDescent="0.3">
      <c r="A553" s="1">
        <v>44129</v>
      </c>
      <c r="B553" s="5">
        <v>1791</v>
      </c>
      <c r="C553" s="3">
        <v>-3.7100000000000001E-2</v>
      </c>
      <c r="D553" s="5">
        <v>1136.75</v>
      </c>
      <c r="E553" s="6">
        <v>-3.2800000000000003E-2</v>
      </c>
      <c r="F553" s="7">
        <v>4.2500000000000003E-2</v>
      </c>
      <c r="G553" s="7">
        <f t="shared" si="32"/>
        <v>8.0073724000473412E-4</v>
      </c>
      <c r="H553" s="9">
        <f t="shared" si="33"/>
        <v>-3.7900737240004735E-2</v>
      </c>
      <c r="I553" s="11">
        <f t="shared" si="34"/>
        <v>-3.3600737240004737E-2</v>
      </c>
    </row>
    <row r="554" spans="1:9" x14ac:dyDescent="0.3">
      <c r="A554" s="1">
        <v>44136</v>
      </c>
      <c r="B554" s="5">
        <v>1833</v>
      </c>
      <c r="C554" s="3">
        <v>2.35E-2</v>
      </c>
      <c r="D554" s="5">
        <v>1172.3399999999999</v>
      </c>
      <c r="E554" s="6">
        <v>3.1300000000000001E-2</v>
      </c>
      <c r="F554" s="7">
        <v>4.0750000000000001E-2</v>
      </c>
      <c r="G554" s="7">
        <f t="shared" si="32"/>
        <v>7.6840289907265102E-4</v>
      </c>
      <c r="H554" s="9">
        <f t="shared" si="33"/>
        <v>2.2731597100927349E-2</v>
      </c>
      <c r="I554" s="11">
        <f t="shared" si="34"/>
        <v>3.053159710092735E-2</v>
      </c>
    </row>
    <row r="555" spans="1:9" x14ac:dyDescent="0.3">
      <c r="A555" s="1">
        <v>44143</v>
      </c>
      <c r="B555" s="5">
        <v>2000</v>
      </c>
      <c r="C555" s="3">
        <v>9.11E-2</v>
      </c>
      <c r="D555" s="5">
        <v>1209.8699999999999</v>
      </c>
      <c r="E555" s="6">
        <v>3.2000000000000001E-2</v>
      </c>
      <c r="F555" s="7">
        <v>4.0800000000000003E-2</v>
      </c>
      <c r="G555" s="7">
        <f t="shared" si="32"/>
        <v>7.6932747715630079E-4</v>
      </c>
      <c r="H555" s="9">
        <f t="shared" si="33"/>
        <v>9.03306725228437E-2</v>
      </c>
      <c r="I555" s="11">
        <f t="shared" si="34"/>
        <v>3.12306725228437E-2</v>
      </c>
    </row>
    <row r="556" spans="1:9" x14ac:dyDescent="0.3">
      <c r="A556" s="1">
        <v>44150</v>
      </c>
      <c r="B556" s="5">
        <v>2153</v>
      </c>
      <c r="C556" s="3">
        <v>7.6499999999999999E-2</v>
      </c>
      <c r="D556" s="5">
        <v>1239.74</v>
      </c>
      <c r="E556" s="6">
        <v>2.47E-2</v>
      </c>
      <c r="F556" s="7">
        <v>3.9689999999999996E-2</v>
      </c>
      <c r="G556" s="7">
        <f t="shared" si="32"/>
        <v>7.4879158525220646E-4</v>
      </c>
      <c r="H556" s="9">
        <f t="shared" si="33"/>
        <v>7.5751208414747792E-2</v>
      </c>
      <c r="I556" s="11">
        <f t="shared" si="34"/>
        <v>2.3951208414747793E-2</v>
      </c>
    </row>
    <row r="557" spans="1:9" x14ac:dyDescent="0.3">
      <c r="A557" s="1">
        <v>44157</v>
      </c>
      <c r="B557" s="5">
        <v>2172</v>
      </c>
      <c r="C557" s="3">
        <v>8.8000000000000005E-3</v>
      </c>
      <c r="D557" s="5">
        <v>1261.74</v>
      </c>
      <c r="E557" s="6">
        <v>1.77E-2</v>
      </c>
      <c r="F557" s="7">
        <v>4.0500000000000001E-2</v>
      </c>
      <c r="G557" s="7">
        <f t="shared" si="32"/>
        <v>7.6377935508586958E-4</v>
      </c>
      <c r="H557" s="9">
        <f>C557-G557</f>
        <v>8.0362206449141309E-3</v>
      </c>
      <c r="I557" s="11">
        <f t="shared" si="34"/>
        <v>1.6936220644914131E-2</v>
      </c>
    </row>
    <row r="558" spans="1:9" x14ac:dyDescent="0.3">
      <c r="A558" s="1">
        <v>44164</v>
      </c>
      <c r="B558" s="5">
        <v>2213</v>
      </c>
      <c r="C558" s="3">
        <v>1.89E-2</v>
      </c>
      <c r="D558" s="5">
        <v>1341.23</v>
      </c>
      <c r="E558" s="6">
        <v>6.3E-2</v>
      </c>
      <c r="F558" s="7">
        <v>4.0989999999999999E-2</v>
      </c>
      <c r="G558" s="7">
        <f t="shared" si="32"/>
        <v>7.7284047662917743E-4</v>
      </c>
      <c r="H558" s="9">
        <f t="shared" si="33"/>
        <v>1.8127159523370823E-2</v>
      </c>
      <c r="I558" s="11">
        <f t="shared" si="34"/>
        <v>6.2227159523370823E-2</v>
      </c>
    </row>
    <row r="559" spans="1:9" x14ac:dyDescent="0.3">
      <c r="A559" s="1">
        <v>44171</v>
      </c>
      <c r="B559" s="5">
        <v>2310</v>
      </c>
      <c r="C559" s="3">
        <v>4.3799999999999999E-2</v>
      </c>
      <c r="D559" s="5">
        <v>1377.67</v>
      </c>
      <c r="E559" s="6">
        <v>2.7199999999999998E-2</v>
      </c>
      <c r="F559" s="7">
        <v>4.0800000000000003E-2</v>
      </c>
      <c r="G559" s="7">
        <f t="shared" si="32"/>
        <v>7.6932747715630079E-4</v>
      </c>
      <c r="H559" s="9">
        <f t="shared" si="33"/>
        <v>4.3030672522843698E-2</v>
      </c>
      <c r="I559" s="11">
        <f t="shared" si="34"/>
        <v>2.6430672522843698E-2</v>
      </c>
    </row>
    <row r="560" spans="1:9" x14ac:dyDescent="0.3">
      <c r="A560" s="1">
        <v>44178</v>
      </c>
      <c r="B560" s="5">
        <v>2326</v>
      </c>
      <c r="C560" s="3">
        <v>6.8999999999999999E-3</v>
      </c>
      <c r="D560" s="5">
        <v>1426.47</v>
      </c>
      <c r="E560" s="6">
        <v>3.5400000000000001E-2</v>
      </c>
      <c r="F560" s="7">
        <v>4.0689999999999997E-2</v>
      </c>
      <c r="G560" s="7">
        <f t="shared" si="32"/>
        <v>7.6729334786507231E-4</v>
      </c>
      <c r="H560" s="9">
        <f t="shared" si="33"/>
        <v>6.1327066521349276E-3</v>
      </c>
      <c r="I560" s="11">
        <f t="shared" si="34"/>
        <v>3.4632706652134929E-2</v>
      </c>
    </row>
    <row r="561" spans="1:9" x14ac:dyDescent="0.3">
      <c r="A561" s="1">
        <v>44185</v>
      </c>
      <c r="B561" s="5">
        <v>2287</v>
      </c>
      <c r="C561" s="3">
        <v>-1.6799999999999999E-2</v>
      </c>
      <c r="D561" s="5">
        <v>1422.21</v>
      </c>
      <c r="E561" s="6">
        <v>-3.0000000000000001E-3</v>
      </c>
      <c r="F561" s="7">
        <v>4.0590000000000001E-2</v>
      </c>
      <c r="G561" s="7">
        <f t="shared" si="32"/>
        <v>7.6544395642286212E-4</v>
      </c>
      <c r="H561" s="9">
        <f t="shared" si="33"/>
        <v>-1.7565443956422861E-2</v>
      </c>
      <c r="I561" s="11">
        <f t="shared" si="34"/>
        <v>-3.7654439564228622E-3</v>
      </c>
    </row>
    <row r="562" spans="1:9" x14ac:dyDescent="0.3">
      <c r="A562" s="1">
        <v>44192</v>
      </c>
      <c r="B562" s="5">
        <v>2245</v>
      </c>
      <c r="C562" s="3">
        <v>-1.84E-2</v>
      </c>
      <c r="D562" s="5">
        <v>1437.89</v>
      </c>
      <c r="E562" s="6">
        <v>1.0999999999999999E-2</v>
      </c>
      <c r="F562" s="7">
        <v>4.045E-2</v>
      </c>
      <c r="G562" s="7">
        <f t="shared" si="32"/>
        <v>7.6285451554580774E-4</v>
      </c>
      <c r="H562" s="9">
        <f t="shared" si="33"/>
        <v>-1.9162854515545807E-2</v>
      </c>
      <c r="I562" s="11">
        <f t="shared" si="34"/>
        <v>1.0237145484454192E-2</v>
      </c>
    </row>
    <row r="563" spans="1:9" x14ac:dyDescent="0.3">
      <c r="A563" s="1">
        <v>44199</v>
      </c>
      <c r="B563" s="5">
        <v>2399</v>
      </c>
      <c r="C563" s="3">
        <v>6.8599999999999994E-2</v>
      </c>
      <c r="D563" s="5">
        <v>1453.12</v>
      </c>
      <c r="E563" s="6">
        <v>1.06E-2</v>
      </c>
      <c r="F563" s="7">
        <v>3.9599999999999996E-2</v>
      </c>
      <c r="G563" s="7">
        <f t="shared" si="32"/>
        <v>7.4712557062639462E-4</v>
      </c>
      <c r="H563" s="9">
        <f t="shared" si="33"/>
        <v>6.78528744293736E-2</v>
      </c>
      <c r="I563" s="11">
        <f t="shared" si="34"/>
        <v>9.8528744293736054E-3</v>
      </c>
    </row>
    <row r="564" spans="1:9" x14ac:dyDescent="0.3">
      <c r="A564" s="1">
        <v>44206</v>
      </c>
      <c r="B564" s="5">
        <v>2420</v>
      </c>
      <c r="C564" s="3">
        <v>8.8000000000000005E-3</v>
      </c>
      <c r="D564" s="5">
        <v>1452.58</v>
      </c>
      <c r="E564" s="6">
        <v>-4.0000000000000002E-4</v>
      </c>
      <c r="F564" s="7">
        <v>3.9489999999999997E-2</v>
      </c>
      <c r="G564" s="7">
        <f t="shared" si="32"/>
        <v>7.4508913841686564E-4</v>
      </c>
      <c r="H564" s="9">
        <f t="shared" si="33"/>
        <v>8.0549108615831349E-3</v>
      </c>
      <c r="I564" s="11">
        <f t="shared" si="34"/>
        <v>-1.1450891384168656E-3</v>
      </c>
    </row>
    <row r="565" spans="1:9" x14ac:dyDescent="0.3">
      <c r="A565" s="1">
        <v>44213</v>
      </c>
      <c r="B565" s="5">
        <v>2354</v>
      </c>
      <c r="C565" s="3">
        <v>-2.7300000000000001E-2</v>
      </c>
      <c r="D565" s="5">
        <v>1418.98</v>
      </c>
      <c r="E565" s="6">
        <v>-2.3099999999999999E-2</v>
      </c>
      <c r="F565" s="7">
        <v>3.875E-2</v>
      </c>
      <c r="G565" s="7">
        <f t="shared" si="32"/>
        <v>7.3138400762662314E-4</v>
      </c>
      <c r="H565" s="9">
        <f t="shared" si="33"/>
        <v>-2.8031384007626624E-2</v>
      </c>
      <c r="I565" s="11">
        <f t="shared" si="34"/>
        <v>-2.3831384007626622E-2</v>
      </c>
    </row>
    <row r="566" spans="1:9" x14ac:dyDescent="0.3">
      <c r="A566" s="1">
        <v>44220</v>
      </c>
      <c r="B566" s="5">
        <v>2030</v>
      </c>
      <c r="C566" s="3">
        <v>-0.1376</v>
      </c>
      <c r="D566" s="5">
        <v>1348.12</v>
      </c>
      <c r="E566" s="6">
        <v>-4.99E-2</v>
      </c>
      <c r="F566" s="7">
        <v>3.7699999999999997E-2</v>
      </c>
      <c r="G566" s="7">
        <f t="shared" si="32"/>
        <v>7.1192109617257415E-4</v>
      </c>
      <c r="H566" s="9">
        <f t="shared" si="33"/>
        <v>-0.13831192109617257</v>
      </c>
      <c r="I566" s="11">
        <f t="shared" si="34"/>
        <v>-5.0611921096172574E-2</v>
      </c>
    </row>
    <row r="567" spans="1:9" x14ac:dyDescent="0.3">
      <c r="A567" s="1">
        <v>44227</v>
      </c>
      <c r="B567" s="5">
        <v>2155</v>
      </c>
      <c r="C567" s="3">
        <v>6.1600000000000002E-2</v>
      </c>
      <c r="D567" s="5">
        <v>1370.46</v>
      </c>
      <c r="E567" s="6">
        <v>1.66E-2</v>
      </c>
      <c r="F567" s="7">
        <v>3.78E-2</v>
      </c>
      <c r="G567" s="7">
        <f t="shared" si="32"/>
        <v>7.1377553875184852E-4</v>
      </c>
      <c r="H567" s="9">
        <f t="shared" si="33"/>
        <v>6.0886224461248153E-2</v>
      </c>
      <c r="I567" s="11">
        <f t="shared" si="34"/>
        <v>1.5886224461248152E-2</v>
      </c>
    </row>
    <row r="568" spans="1:9" x14ac:dyDescent="0.3">
      <c r="A568" s="1">
        <v>44234</v>
      </c>
      <c r="B568" s="5">
        <v>2150</v>
      </c>
      <c r="C568" s="3">
        <v>-2.3E-3</v>
      </c>
      <c r="D568" s="5">
        <v>1365.95</v>
      </c>
      <c r="E568" s="6">
        <v>-3.3E-3</v>
      </c>
      <c r="F568" s="7">
        <v>3.7290000000000004E-2</v>
      </c>
      <c r="G568" s="7">
        <f t="shared" si="32"/>
        <v>7.0431604869769515E-4</v>
      </c>
      <c r="H568" s="9">
        <f t="shared" si="33"/>
        <v>-3.0043160486976951E-3</v>
      </c>
      <c r="I568" s="11">
        <f t="shared" si="34"/>
        <v>-4.0043160486976951E-3</v>
      </c>
    </row>
    <row r="569" spans="1:9" x14ac:dyDescent="0.3">
      <c r="A569" s="1">
        <v>44241</v>
      </c>
      <c r="B569" s="5">
        <v>2165</v>
      </c>
      <c r="C569" s="3">
        <v>7.0000000000000001E-3</v>
      </c>
      <c r="D569" s="5">
        <v>1352.57</v>
      </c>
      <c r="E569" s="6">
        <v>-9.7999999999999997E-3</v>
      </c>
      <c r="F569" s="7">
        <v>3.9890000000000002E-2</v>
      </c>
      <c r="G569" s="7">
        <f t="shared" si="32"/>
        <v>7.5249333362870097E-4</v>
      </c>
      <c r="H569" s="9">
        <f t="shared" si="33"/>
        <v>6.2475066663712992E-3</v>
      </c>
      <c r="I569" s="11">
        <f t="shared" si="34"/>
        <v>-1.0552493333628701E-2</v>
      </c>
    </row>
    <row r="570" spans="1:9" x14ac:dyDescent="0.3">
      <c r="A570" s="1">
        <v>44248</v>
      </c>
      <c r="B570" s="5">
        <v>2250</v>
      </c>
      <c r="C570" s="3">
        <v>3.9300000000000002E-2</v>
      </c>
      <c r="D570" s="5">
        <v>1359.48</v>
      </c>
      <c r="E570" s="6">
        <v>5.1000000000000004E-3</v>
      </c>
      <c r="F570" s="7">
        <v>4.3929999999999997E-2</v>
      </c>
      <c r="G570" s="7">
        <f t="shared" si="32"/>
        <v>8.2711951723268839E-4</v>
      </c>
      <c r="H570" s="9">
        <f t="shared" si="33"/>
        <v>3.8472880482767313E-2</v>
      </c>
      <c r="I570" s="11">
        <f t="shared" si="34"/>
        <v>4.272880482767312E-3</v>
      </c>
    </row>
    <row r="571" spans="1:9" x14ac:dyDescent="0.3">
      <c r="A571" s="1">
        <v>44255</v>
      </c>
      <c r="B571" s="5">
        <v>2400</v>
      </c>
      <c r="C571" s="3">
        <v>6.6699999999999995E-2</v>
      </c>
      <c r="D571" s="5">
        <v>1344.72</v>
      </c>
      <c r="E571" s="6">
        <v>-1.09E-2</v>
      </c>
      <c r="F571" s="7">
        <v>4.6500000000000007E-2</v>
      </c>
      <c r="G571" s="7">
        <f t="shared" si="32"/>
        <v>8.7444485231569224E-4</v>
      </c>
      <c r="H571" s="9">
        <f t="shared" si="33"/>
        <v>6.5825555147684303E-2</v>
      </c>
      <c r="I571" s="11">
        <f t="shared" si="34"/>
        <v>-1.1774444852315692E-2</v>
      </c>
    </row>
    <row r="572" spans="1:9" x14ac:dyDescent="0.3">
      <c r="A572" s="1">
        <v>44262</v>
      </c>
      <c r="B572" s="5">
        <v>2378</v>
      </c>
      <c r="C572" s="3">
        <v>-9.1999999999999998E-3</v>
      </c>
      <c r="D572" s="5">
        <v>1353.68</v>
      </c>
      <c r="E572" s="6">
        <v>6.7000000000000002E-3</v>
      </c>
      <c r="F572" s="7">
        <v>4.6399999999999997E-2</v>
      </c>
      <c r="G572" s="7">
        <f t="shared" si="32"/>
        <v>8.7260553196522039E-4</v>
      </c>
      <c r="H572" s="9">
        <f t="shared" si="33"/>
        <v>-1.007260553196522E-2</v>
      </c>
      <c r="I572" s="11">
        <f t="shared" si="34"/>
        <v>5.8273944680347798E-3</v>
      </c>
    </row>
    <row r="573" spans="1:9" x14ac:dyDescent="0.3">
      <c r="A573" s="1">
        <v>44269</v>
      </c>
      <c r="B573" s="5">
        <v>2370</v>
      </c>
      <c r="C573" s="3">
        <v>-3.3999999999999998E-3</v>
      </c>
      <c r="D573" s="5">
        <v>1324.54</v>
      </c>
      <c r="E573" s="6">
        <v>-2.1499999999999998E-2</v>
      </c>
      <c r="F573" s="7">
        <v>5.33E-2</v>
      </c>
      <c r="G573" s="7">
        <f t="shared" si="32"/>
        <v>9.9911595453572311E-4</v>
      </c>
      <c r="H573" s="9">
        <f t="shared" si="33"/>
        <v>-4.3991159545357233E-3</v>
      </c>
      <c r="I573" s="11">
        <f t="shared" si="34"/>
        <v>-2.2499115954535721E-2</v>
      </c>
    </row>
    <row r="574" spans="1:9" x14ac:dyDescent="0.3">
      <c r="A574" s="1">
        <v>44276</v>
      </c>
      <c r="B574" s="5">
        <v>2351</v>
      </c>
      <c r="C574" s="3">
        <v>-8.0000000000000002E-3</v>
      </c>
      <c r="D574" s="5">
        <v>1314.46</v>
      </c>
      <c r="E574" s="6">
        <v>-7.6E-3</v>
      </c>
      <c r="F574" s="7">
        <v>5.534E-2</v>
      </c>
      <c r="G574" s="7">
        <f t="shared" si="32"/>
        <v>1.0363633824401752E-3</v>
      </c>
      <c r="H574" s="9">
        <f t="shared" si="33"/>
        <v>-9.0363633824401754E-3</v>
      </c>
      <c r="I574" s="11">
        <f t="shared" si="34"/>
        <v>-8.6363633824401743E-3</v>
      </c>
    </row>
    <row r="575" spans="1:9" x14ac:dyDescent="0.3">
      <c r="A575" s="1">
        <v>44283</v>
      </c>
      <c r="B575" s="5">
        <v>2366</v>
      </c>
      <c r="C575" s="3">
        <v>6.4000000000000003E-3</v>
      </c>
      <c r="D575" s="5">
        <v>1316.81</v>
      </c>
      <c r="E575" s="6">
        <v>1.8E-3</v>
      </c>
      <c r="F575" s="7">
        <v>5.6500000000000002E-2</v>
      </c>
      <c r="G575" s="7">
        <f t="shared" si="32"/>
        <v>1.0575118115963011E-3</v>
      </c>
      <c r="H575" s="9">
        <f t="shared" si="33"/>
        <v>5.3424881884036992E-3</v>
      </c>
      <c r="I575" s="11">
        <f t="shared" si="34"/>
        <v>7.4248818840369881E-4</v>
      </c>
    </row>
    <row r="576" spans="1:9" x14ac:dyDescent="0.3">
      <c r="A576" s="1">
        <v>44290</v>
      </c>
      <c r="B576" s="5">
        <v>2260</v>
      </c>
      <c r="C576" s="3">
        <v>-4.48E-2</v>
      </c>
      <c r="D576" s="5">
        <v>1322.11</v>
      </c>
      <c r="E576" s="6">
        <v>4.0000000000000001E-3</v>
      </c>
      <c r="F576" s="7">
        <v>5.33E-2</v>
      </c>
      <c r="G576" s="7">
        <f t="shared" si="32"/>
        <v>9.9911595453572311E-4</v>
      </c>
      <c r="H576" s="9">
        <f t="shared" si="33"/>
        <v>-4.5799115954535723E-2</v>
      </c>
      <c r="I576" s="11">
        <f t="shared" si="34"/>
        <v>3.000884045464277E-3</v>
      </c>
    </row>
    <row r="577" spans="1:9" x14ac:dyDescent="0.3">
      <c r="A577" s="1">
        <v>44297</v>
      </c>
      <c r="B577" s="5">
        <v>2301</v>
      </c>
      <c r="C577" s="3">
        <v>1.8100000000000002E-2</v>
      </c>
      <c r="D577" s="5">
        <v>1317.08</v>
      </c>
      <c r="E577" s="6">
        <v>-3.8E-3</v>
      </c>
      <c r="F577" s="7">
        <v>5.3109999999999997E-2</v>
      </c>
      <c r="G577" s="7">
        <f t="shared" si="32"/>
        <v>9.956432303885876E-4</v>
      </c>
      <c r="H577" s="9">
        <f t="shared" si="33"/>
        <v>1.7104356769611414E-2</v>
      </c>
      <c r="I577" s="11">
        <f t="shared" si="34"/>
        <v>-4.7956432303885872E-3</v>
      </c>
    </row>
    <row r="578" spans="1:9" x14ac:dyDescent="0.3">
      <c r="A578" s="1">
        <v>44304</v>
      </c>
      <c r="B578" s="5">
        <v>2228</v>
      </c>
      <c r="C578" s="3">
        <v>-3.1699999999999999E-2</v>
      </c>
      <c r="D578" s="5">
        <v>1282.21</v>
      </c>
      <c r="E578" s="6">
        <v>-2.6499999999999999E-2</v>
      </c>
      <c r="F578" s="7">
        <v>5.3399999999999996E-2</v>
      </c>
      <c r="G578" s="7">
        <f t="shared" si="32"/>
        <v>1.0009434573206022E-3</v>
      </c>
      <c r="H578" s="9">
        <f t="shared" si="33"/>
        <v>-3.2700943457320601E-2</v>
      </c>
      <c r="I578" s="11">
        <f t="shared" si="34"/>
        <v>-2.7500943457320601E-2</v>
      </c>
    </row>
    <row r="579" spans="1:9" x14ac:dyDescent="0.3">
      <c r="A579" s="1">
        <v>44311</v>
      </c>
      <c r="B579" s="5">
        <v>2210</v>
      </c>
      <c r="C579" s="3">
        <v>-8.0999999999999996E-3</v>
      </c>
      <c r="D579" s="5">
        <v>1250.6500000000001</v>
      </c>
      <c r="E579" s="6">
        <v>-2.46E-2</v>
      </c>
      <c r="F579" s="7">
        <v>5.638E-2</v>
      </c>
      <c r="G579" s="7">
        <f t="shared" ref="G579:G593" si="36">(1+F579)^(1/52)-1</f>
        <v>1.0553250994318475E-3</v>
      </c>
      <c r="H579" s="9">
        <f t="shared" ref="H579:H593" si="37">C579-G579</f>
        <v>-9.1553250994318471E-3</v>
      </c>
      <c r="I579" s="11">
        <f t="shared" ref="I579:I593" si="38">E579-G579</f>
        <v>-2.5655325099431848E-2</v>
      </c>
    </row>
    <row r="580" spans="1:9" x14ac:dyDescent="0.3">
      <c r="A580" s="1">
        <v>44318</v>
      </c>
      <c r="B580" s="5">
        <v>2288</v>
      </c>
      <c r="C580" s="3">
        <v>3.5299999999999998E-2</v>
      </c>
      <c r="D580" s="5">
        <v>1281.93</v>
      </c>
      <c r="E580" s="6">
        <v>2.5000000000000001E-2</v>
      </c>
      <c r="F580" s="7">
        <v>5.8550000000000005E-2</v>
      </c>
      <c r="G580" s="7">
        <f t="shared" si="36"/>
        <v>1.0948305655325008E-3</v>
      </c>
      <c r="H580" s="9">
        <f t="shared" si="37"/>
        <v>3.4205169434467497E-2</v>
      </c>
      <c r="I580" s="11">
        <f t="shared" si="38"/>
        <v>2.3905169434467501E-2</v>
      </c>
    </row>
    <row r="581" spans="1:9" x14ac:dyDescent="0.3">
      <c r="A581" s="1">
        <v>44325</v>
      </c>
      <c r="B581" s="5">
        <v>2387</v>
      </c>
      <c r="C581" s="3">
        <v>4.3299999999999998E-2</v>
      </c>
      <c r="D581" s="5">
        <v>1289.75</v>
      </c>
      <c r="E581" s="6">
        <v>6.1000000000000004E-3</v>
      </c>
      <c r="F581" s="7">
        <v>5.7699999999999994E-2</v>
      </c>
      <c r="G581" s="7">
        <f t="shared" si="36"/>
        <v>1.0793655452392414E-3</v>
      </c>
      <c r="H581" s="9">
        <f t="shared" si="37"/>
        <v>4.2220634454760757E-2</v>
      </c>
      <c r="I581" s="11">
        <f t="shared" si="38"/>
        <v>5.0206344547607589E-3</v>
      </c>
    </row>
    <row r="582" spans="1:9" x14ac:dyDescent="0.3">
      <c r="A582" s="1">
        <v>44332</v>
      </c>
      <c r="B582" s="5">
        <v>2285</v>
      </c>
      <c r="C582" s="3">
        <v>-4.2700000000000002E-2</v>
      </c>
      <c r="D582" s="5">
        <v>1244.08</v>
      </c>
      <c r="E582" s="6">
        <v>-3.5400000000000001E-2</v>
      </c>
      <c r="F582" s="7">
        <v>5.9389999999999998E-2</v>
      </c>
      <c r="G582" s="7">
        <f t="shared" si="36"/>
        <v>1.1101016837602451E-3</v>
      </c>
      <c r="H582" s="9">
        <f t="shared" si="37"/>
        <v>-4.3810101683760247E-2</v>
      </c>
      <c r="I582" s="11">
        <f t="shared" si="38"/>
        <v>-3.6510101683760246E-2</v>
      </c>
    </row>
    <row r="583" spans="1:9" x14ac:dyDescent="0.3">
      <c r="A583" s="1">
        <v>44339</v>
      </c>
      <c r="B583" s="5">
        <v>2211</v>
      </c>
      <c r="C583" s="3">
        <v>-3.2399999999999998E-2</v>
      </c>
      <c r="D583" s="5">
        <v>1206.6300000000001</v>
      </c>
      <c r="E583" s="6">
        <v>-3.0099999999999998E-2</v>
      </c>
      <c r="F583" s="7">
        <v>5.8650000000000001E-2</v>
      </c>
      <c r="G583" s="7">
        <f t="shared" si="36"/>
        <v>1.0966491789055066E-3</v>
      </c>
      <c r="H583" s="9">
        <f t="shared" si="37"/>
        <v>-3.3496649178905505E-2</v>
      </c>
      <c r="I583" s="11">
        <f t="shared" si="38"/>
        <v>-3.1196649178905505E-2</v>
      </c>
    </row>
    <row r="584" spans="1:9" x14ac:dyDescent="0.3">
      <c r="A584" s="1">
        <v>44346</v>
      </c>
      <c r="B584" s="5">
        <v>2355</v>
      </c>
      <c r="C584" s="3">
        <v>6.5100000000000005E-2</v>
      </c>
      <c r="D584" s="5">
        <v>1245.44</v>
      </c>
      <c r="E584" s="6">
        <v>3.2199999999999999E-2</v>
      </c>
      <c r="F584" s="7">
        <v>5.7000000000000002E-2</v>
      </c>
      <c r="G584" s="7">
        <f t="shared" si="36"/>
        <v>1.0666204910090293E-3</v>
      </c>
      <c r="H584" s="9">
        <f t="shared" si="37"/>
        <v>6.4033379508990976E-2</v>
      </c>
      <c r="I584" s="11">
        <f t="shared" si="38"/>
        <v>3.113337950899097E-2</v>
      </c>
    </row>
    <row r="585" spans="1:9" x14ac:dyDescent="0.3">
      <c r="A585" s="1">
        <v>44353</v>
      </c>
      <c r="B585" s="5">
        <v>2391</v>
      </c>
      <c r="C585" s="3">
        <v>1.5299999999999999E-2</v>
      </c>
      <c r="D585" s="5">
        <v>1261.6099999999999</v>
      </c>
      <c r="E585" s="6">
        <v>1.2999999999999999E-2</v>
      </c>
      <c r="F585" s="7">
        <v>5.8899999999999994E-2</v>
      </c>
      <c r="G585" s="7">
        <f t="shared" si="36"/>
        <v>1.1011949753299E-3</v>
      </c>
      <c r="H585" s="9">
        <f t="shared" si="37"/>
        <v>1.4198805024670099E-2</v>
      </c>
      <c r="I585" s="11">
        <f t="shared" si="38"/>
        <v>1.1898805024670099E-2</v>
      </c>
    </row>
    <row r="586" spans="1:9" x14ac:dyDescent="0.3">
      <c r="A586" s="1">
        <v>44360</v>
      </c>
      <c r="B586" s="5">
        <v>2397</v>
      </c>
      <c r="C586" s="3">
        <v>2.5000000000000001E-3</v>
      </c>
      <c r="D586" s="5">
        <v>1257.29</v>
      </c>
      <c r="E586" s="6">
        <v>-3.3999999999999998E-3</v>
      </c>
      <c r="F586" s="7">
        <v>5.8499999999999996E-2</v>
      </c>
      <c r="G586" s="7">
        <f t="shared" si="36"/>
        <v>1.0939211956582096E-3</v>
      </c>
      <c r="H586" s="9">
        <f t="shared" si="37"/>
        <v>1.4060788043417905E-3</v>
      </c>
      <c r="I586" s="11">
        <f t="shared" si="38"/>
        <v>-4.4939211956582098E-3</v>
      </c>
    </row>
    <row r="587" spans="1:9" x14ac:dyDescent="0.3">
      <c r="A587" s="1">
        <v>44367</v>
      </c>
      <c r="B587" s="5">
        <v>2770</v>
      </c>
      <c r="C587" s="3">
        <v>0.15559999999999999</v>
      </c>
      <c r="D587" s="5">
        <v>1284.2</v>
      </c>
      <c r="E587" s="6">
        <v>2.1399999999999999E-2</v>
      </c>
      <c r="F587" s="7">
        <v>6.1749999999999999E-2</v>
      </c>
      <c r="G587" s="7">
        <f t="shared" si="36"/>
        <v>1.1529427860237362E-3</v>
      </c>
      <c r="H587" s="9">
        <f t="shared" si="37"/>
        <v>0.15444705721397625</v>
      </c>
      <c r="I587" s="11">
        <f t="shared" si="38"/>
        <v>2.0247057213976263E-2</v>
      </c>
    </row>
    <row r="588" spans="1:9" x14ac:dyDescent="0.3">
      <c r="A588" s="1">
        <v>44374</v>
      </c>
      <c r="B588" s="5">
        <v>2851</v>
      </c>
      <c r="C588" s="3">
        <v>2.92E-2</v>
      </c>
      <c r="D588" s="5">
        <v>1289.3800000000001</v>
      </c>
      <c r="E588" s="6">
        <v>4.0000000000000001E-3</v>
      </c>
      <c r="F588" s="7">
        <v>6.1100000000000002E-2</v>
      </c>
      <c r="G588" s="7">
        <f t="shared" si="36"/>
        <v>1.1411526562570273E-3</v>
      </c>
      <c r="H588" s="9">
        <f t="shared" si="37"/>
        <v>2.8058847343742973E-2</v>
      </c>
      <c r="I588" s="11">
        <f t="shared" si="38"/>
        <v>2.8588473437429728E-3</v>
      </c>
    </row>
    <row r="589" spans="1:9" x14ac:dyDescent="0.3">
      <c r="A589" s="1">
        <v>44381</v>
      </c>
      <c r="B589" s="5">
        <v>2761</v>
      </c>
      <c r="C589" s="3">
        <v>-3.1600000000000003E-2</v>
      </c>
      <c r="D589" s="5">
        <v>1293.02</v>
      </c>
      <c r="E589" s="6">
        <v>2.8E-3</v>
      </c>
      <c r="F589" s="7">
        <v>0.06</v>
      </c>
      <c r="G589" s="7">
        <f t="shared" si="36"/>
        <v>1.1211839828213499E-3</v>
      </c>
      <c r="H589" s="9">
        <f t="shared" si="37"/>
        <v>-3.2721183982821353E-2</v>
      </c>
      <c r="I589" s="11">
        <f t="shared" si="38"/>
        <v>1.6788160171786501E-3</v>
      </c>
    </row>
    <row r="590" spans="1:9" x14ac:dyDescent="0.3">
      <c r="A590" s="1">
        <v>44388</v>
      </c>
      <c r="B590" s="5">
        <v>2560</v>
      </c>
      <c r="C590" s="3">
        <v>-7.2800000000000004E-2</v>
      </c>
      <c r="D590" s="5">
        <v>1272.49</v>
      </c>
      <c r="E590" s="6">
        <v>-1.5900000000000001E-2</v>
      </c>
      <c r="F590" s="7">
        <v>6.0720000000000003E-2</v>
      </c>
      <c r="G590" s="7">
        <f t="shared" si="36"/>
        <v>1.1342566835719214E-3</v>
      </c>
      <c r="H590" s="9">
        <f t="shared" si="37"/>
        <v>-7.3934256683571925E-2</v>
      </c>
      <c r="I590" s="11">
        <f t="shared" si="38"/>
        <v>-1.7034256683571922E-2</v>
      </c>
    </row>
    <row r="591" spans="1:9" x14ac:dyDescent="0.3">
      <c r="A591" s="1">
        <v>44395</v>
      </c>
      <c r="B591" s="5">
        <v>2551</v>
      </c>
      <c r="C591" s="3">
        <v>-3.5000000000000001E-3</v>
      </c>
      <c r="D591" s="5">
        <v>1254.24</v>
      </c>
      <c r="E591" s="6">
        <v>-1.43E-2</v>
      </c>
      <c r="F591" s="7">
        <v>6.0400000000000002E-2</v>
      </c>
      <c r="G591" s="7">
        <f t="shared" si="36"/>
        <v>1.1284476691193479E-3</v>
      </c>
      <c r="H591" s="9">
        <f t="shared" si="37"/>
        <v>-4.6284476691193475E-3</v>
      </c>
      <c r="I591" s="11">
        <f t="shared" si="38"/>
        <v>-1.5428447669119348E-2</v>
      </c>
    </row>
    <row r="592" spans="1:9" x14ac:dyDescent="0.3">
      <c r="A592" s="1">
        <v>44402</v>
      </c>
      <c r="B592" s="5">
        <v>2633</v>
      </c>
      <c r="C592" s="3">
        <v>3.2099999999999997E-2</v>
      </c>
      <c r="D592" s="5">
        <v>1236.73</v>
      </c>
      <c r="E592" s="6">
        <v>-1.4E-2</v>
      </c>
      <c r="F592" s="7">
        <v>6.0599999999999994E-2</v>
      </c>
      <c r="G592" s="7">
        <f t="shared" si="36"/>
        <v>1.13207850459629E-3</v>
      </c>
      <c r="H592" s="9">
        <f t="shared" si="37"/>
        <v>3.0967921495403707E-2</v>
      </c>
      <c r="I592" s="11">
        <f t="shared" si="38"/>
        <v>-1.513207850459629E-2</v>
      </c>
    </row>
    <row r="593" spans="1:9" x14ac:dyDescent="0.3">
      <c r="A593" s="1">
        <v>44409</v>
      </c>
      <c r="B593" s="5">
        <v>2547</v>
      </c>
      <c r="C593" s="3">
        <v>-3.27E-2</v>
      </c>
      <c r="D593" s="5">
        <v>1226.5899999999999</v>
      </c>
      <c r="E593" s="6">
        <v>-8.2000000000000007E-3</v>
      </c>
      <c r="F593" s="7">
        <v>6.1150000000000003E-2</v>
      </c>
      <c r="G593" s="7">
        <f t="shared" si="36"/>
        <v>1.1420598407640981E-3</v>
      </c>
      <c r="H593" s="9">
        <f t="shared" si="37"/>
        <v>-3.3842059840764098E-2</v>
      </c>
      <c r="I593" s="11">
        <f t="shared" si="38"/>
        <v>-9.3420598407640987E-3</v>
      </c>
    </row>
    <row r="594" spans="1:9" x14ac:dyDescent="0.3">
      <c r="A594" s="1">
        <v>44416</v>
      </c>
      <c r="B594" s="5">
        <v>2586</v>
      </c>
      <c r="C594" s="3">
        <v>1.5299999999999999E-2</v>
      </c>
      <c r="D594" s="5">
        <v>1268.79</v>
      </c>
      <c r="E594" s="6">
        <v>3.44E-2</v>
      </c>
      <c r="F594" s="7">
        <v>6.1289999999999997E-2</v>
      </c>
      <c r="G594" s="7">
        <f t="shared" ref="G594:G614" si="39">(1+F594)^(1/52)-1</f>
        <v>1.1445997343695336E-3</v>
      </c>
      <c r="H594" s="9">
        <f t="shared" ref="H594:H614" si="40">C594-G594</f>
        <v>1.4155400265630466E-2</v>
      </c>
      <c r="I594" s="11">
        <f t="shared" ref="I594:I614" si="41">E594-G594</f>
        <v>3.3255400265630466E-2</v>
      </c>
    </row>
    <row r="595" spans="1:9" x14ac:dyDescent="0.3">
      <c r="A595" s="1">
        <v>44423</v>
      </c>
      <c r="B595" s="5">
        <v>2536</v>
      </c>
      <c r="C595" s="3">
        <v>-1.9300000000000001E-2</v>
      </c>
      <c r="D595" s="5">
        <v>1326.91</v>
      </c>
      <c r="E595" s="6">
        <v>4.58E-2</v>
      </c>
      <c r="F595" s="7">
        <v>6.1799999999999994E-2</v>
      </c>
      <c r="G595" s="7">
        <f t="shared" si="39"/>
        <v>1.153849425845177E-3</v>
      </c>
      <c r="H595" s="9">
        <f t="shared" si="40"/>
        <v>-2.0453849425845178E-2</v>
      </c>
      <c r="I595" s="11">
        <f t="shared" si="41"/>
        <v>4.4646150574154823E-2</v>
      </c>
    </row>
    <row r="596" spans="1:9" x14ac:dyDescent="0.3">
      <c r="A596" s="1">
        <v>44430</v>
      </c>
      <c r="B596" s="5">
        <v>2660</v>
      </c>
      <c r="C596" s="3">
        <v>4.8899999999999999E-2</v>
      </c>
      <c r="D596" s="5">
        <v>1325.51</v>
      </c>
      <c r="E596" s="6">
        <v>-1.1000000000000001E-3</v>
      </c>
      <c r="F596" s="7">
        <v>6.1059999999999996E-2</v>
      </c>
      <c r="G596" s="7">
        <f t="shared" si="39"/>
        <v>1.1404268784647176E-3</v>
      </c>
      <c r="H596" s="9">
        <f t="shared" si="40"/>
        <v>4.7759573121535281E-2</v>
      </c>
      <c r="I596" s="11">
        <f t="shared" si="41"/>
        <v>-2.2404268784647179E-3</v>
      </c>
    </row>
    <row r="597" spans="1:9" x14ac:dyDescent="0.3">
      <c r="A597" s="1">
        <v>44437</v>
      </c>
      <c r="B597" s="5">
        <v>2635</v>
      </c>
      <c r="C597" s="3">
        <v>-9.4000000000000004E-3</v>
      </c>
      <c r="D597" s="5">
        <v>1327.47</v>
      </c>
      <c r="E597" s="6">
        <v>1.5E-3</v>
      </c>
      <c r="F597" s="7">
        <v>6.1310000000000003E-2</v>
      </c>
      <c r="G597" s="7">
        <f t="shared" si="39"/>
        <v>1.1449625494877047E-3</v>
      </c>
      <c r="H597" s="9">
        <f t="shared" si="40"/>
        <v>-1.0544962549487705E-2</v>
      </c>
      <c r="I597" s="11">
        <f t="shared" si="41"/>
        <v>3.5503745051229533E-4</v>
      </c>
    </row>
    <row r="598" spans="1:9" x14ac:dyDescent="0.3">
      <c r="A598" s="1">
        <v>44444</v>
      </c>
      <c r="B598" s="5">
        <v>2553</v>
      </c>
      <c r="C598" s="3">
        <v>-3.1099999999999999E-2</v>
      </c>
      <c r="D598" s="5">
        <v>1320.52</v>
      </c>
      <c r="E598" s="6">
        <v>-5.1999999999999998E-3</v>
      </c>
      <c r="F598" s="7">
        <v>6.2400000000000004E-2</v>
      </c>
      <c r="G598" s="7">
        <f t="shared" si="39"/>
        <v>1.1647258388394199E-3</v>
      </c>
      <c r="H598" s="9">
        <f t="shared" si="40"/>
        <v>-3.2264725838839423E-2</v>
      </c>
      <c r="I598" s="11">
        <f t="shared" si="41"/>
        <v>-6.3647258388394197E-3</v>
      </c>
    </row>
    <row r="599" spans="1:9" x14ac:dyDescent="0.3">
      <c r="A599" s="1">
        <v>44451</v>
      </c>
      <c r="B599" s="5">
        <v>2566</v>
      </c>
      <c r="C599" s="3">
        <v>5.1000000000000004E-3</v>
      </c>
      <c r="D599" s="5">
        <v>1321.85</v>
      </c>
      <c r="E599" s="6">
        <v>1E-3</v>
      </c>
      <c r="F599" s="7">
        <v>6.4869999999999997E-2</v>
      </c>
      <c r="G599" s="7">
        <f t="shared" si="39"/>
        <v>1.209437048730333E-3</v>
      </c>
      <c r="H599" s="9">
        <f t="shared" si="40"/>
        <v>3.8905629512696674E-3</v>
      </c>
      <c r="I599" s="11">
        <f t="shared" si="41"/>
        <v>-2.0943704873033295E-4</v>
      </c>
    </row>
    <row r="600" spans="1:9" x14ac:dyDescent="0.3">
      <c r="A600" s="1">
        <v>44458</v>
      </c>
      <c r="B600" s="5">
        <v>2550</v>
      </c>
      <c r="C600" s="3">
        <v>-6.1999999999999998E-3</v>
      </c>
      <c r="D600" s="5">
        <v>1309.3800000000001</v>
      </c>
      <c r="E600" s="6">
        <v>-9.4000000000000004E-3</v>
      </c>
      <c r="F600" s="7">
        <v>6.6989999999999994E-2</v>
      </c>
      <c r="G600" s="7">
        <f t="shared" si="39"/>
        <v>1.2477316202856858E-3</v>
      </c>
      <c r="H600" s="9">
        <f t="shared" si="40"/>
        <v>-7.4477316202856856E-3</v>
      </c>
      <c r="I600" s="11">
        <f t="shared" si="41"/>
        <v>-1.0647731620285686E-2</v>
      </c>
    </row>
    <row r="601" spans="1:9" x14ac:dyDescent="0.3">
      <c r="A601" s="1">
        <v>44465</v>
      </c>
      <c r="B601" s="5">
        <v>2769</v>
      </c>
      <c r="C601" s="3">
        <v>8.5900000000000004E-2</v>
      </c>
      <c r="D601" s="5">
        <v>1370.25</v>
      </c>
      <c r="E601" s="6">
        <v>4.65E-2</v>
      </c>
      <c r="F601" s="7">
        <v>6.5299999999999997E-2</v>
      </c>
      <c r="G601" s="7">
        <f t="shared" si="39"/>
        <v>1.2172103852579053E-3</v>
      </c>
      <c r="H601" s="9">
        <f t="shared" si="40"/>
        <v>8.4682789614742099E-2</v>
      </c>
      <c r="I601" s="11">
        <f t="shared" si="41"/>
        <v>4.5282789614742094E-2</v>
      </c>
    </row>
    <row r="602" spans="1:9" x14ac:dyDescent="0.3">
      <c r="A602" s="1">
        <v>44472</v>
      </c>
      <c r="B602" s="5">
        <v>2908</v>
      </c>
      <c r="C602" s="3">
        <v>5.0200000000000002E-2</v>
      </c>
      <c r="D602" s="5">
        <v>1401</v>
      </c>
      <c r="E602" s="6">
        <v>2.24E-2</v>
      </c>
      <c r="F602" s="7">
        <v>6.5799999999999997E-2</v>
      </c>
      <c r="G602" s="7">
        <f t="shared" si="39"/>
        <v>1.2262452800775314E-3</v>
      </c>
      <c r="H602" s="9">
        <f t="shared" si="40"/>
        <v>4.897375471992247E-2</v>
      </c>
      <c r="I602" s="11">
        <f t="shared" si="41"/>
        <v>2.1173754719922468E-2</v>
      </c>
    </row>
    <row r="603" spans="1:9" x14ac:dyDescent="0.3">
      <c r="A603" s="1">
        <v>44479</v>
      </c>
      <c r="B603" s="5">
        <v>2960</v>
      </c>
      <c r="C603" s="3">
        <v>1.7899999999999999E-2</v>
      </c>
      <c r="D603" s="5">
        <v>1426.2</v>
      </c>
      <c r="E603" s="6">
        <v>1.7999999999999999E-2</v>
      </c>
      <c r="F603" s="7">
        <v>6.719E-2</v>
      </c>
      <c r="G603" s="7">
        <f t="shared" si="39"/>
        <v>1.251340462806283E-3</v>
      </c>
      <c r="H603" s="9">
        <f t="shared" si="40"/>
        <v>1.6648659537193716E-2</v>
      </c>
      <c r="I603" s="11">
        <f t="shared" si="41"/>
        <v>1.6748659537193716E-2</v>
      </c>
    </row>
    <row r="604" spans="1:9" x14ac:dyDescent="0.3">
      <c r="A604" s="1">
        <v>44486</v>
      </c>
      <c r="B604" s="5">
        <v>2890</v>
      </c>
      <c r="C604" s="3">
        <v>-2.3599999999999999E-2</v>
      </c>
      <c r="D604" s="5">
        <v>1399.64</v>
      </c>
      <c r="E604" s="6">
        <v>-1.8599999999999998E-2</v>
      </c>
      <c r="F604" s="7">
        <v>6.9610000000000005E-2</v>
      </c>
      <c r="G604" s="7">
        <f t="shared" si="39"/>
        <v>1.294954962796524E-3</v>
      </c>
      <c r="H604" s="9">
        <f t="shared" si="40"/>
        <v>-2.4894954962796523E-2</v>
      </c>
      <c r="I604" s="11">
        <f t="shared" si="41"/>
        <v>-1.9894954962796522E-2</v>
      </c>
    </row>
    <row r="605" spans="1:9" x14ac:dyDescent="0.3">
      <c r="A605" s="1">
        <v>44493</v>
      </c>
      <c r="B605" s="5">
        <v>2847</v>
      </c>
      <c r="C605" s="3">
        <v>-1.49E-2</v>
      </c>
      <c r="D605" s="5">
        <v>1394.04</v>
      </c>
      <c r="E605" s="6">
        <v>-4.0000000000000001E-3</v>
      </c>
      <c r="F605" s="7">
        <v>7.1349999999999997E-2</v>
      </c>
      <c r="G605" s="7">
        <f t="shared" si="39"/>
        <v>1.326254380519698E-3</v>
      </c>
      <c r="H605" s="9">
        <f t="shared" si="40"/>
        <v>-1.6226254380519698E-2</v>
      </c>
      <c r="I605" s="11">
        <f t="shared" si="41"/>
        <v>-5.3262543805196981E-3</v>
      </c>
    </row>
    <row r="606" spans="1:9" x14ac:dyDescent="0.3">
      <c r="A606" s="1">
        <v>44500</v>
      </c>
      <c r="B606" s="5">
        <v>2877</v>
      </c>
      <c r="C606" s="3">
        <v>1.0500000000000001E-2</v>
      </c>
      <c r="D606" s="5">
        <v>1388.56</v>
      </c>
      <c r="E606" s="6">
        <v>-3.8999999999999998E-3</v>
      </c>
      <c r="F606" s="7">
        <v>7.4200000000000002E-2</v>
      </c>
      <c r="G606" s="7">
        <f t="shared" si="39"/>
        <v>1.3774131188040162E-3</v>
      </c>
      <c r="H606" s="9">
        <f t="shared" si="40"/>
        <v>9.1225868811959845E-3</v>
      </c>
      <c r="I606" s="11">
        <f t="shared" si="41"/>
        <v>-5.277413118804016E-3</v>
      </c>
    </row>
    <row r="607" spans="1:9" x14ac:dyDescent="0.3">
      <c r="A607" s="1">
        <v>44507</v>
      </c>
      <c r="B607" s="5">
        <v>2840</v>
      </c>
      <c r="C607" s="3">
        <v>-1.29E-2</v>
      </c>
      <c r="D607" s="5">
        <v>1356.48</v>
      </c>
      <c r="E607" s="6">
        <v>-2.3099999999999999E-2</v>
      </c>
      <c r="F607" s="7">
        <v>7.51E-2</v>
      </c>
      <c r="G607" s="7">
        <f t="shared" si="39"/>
        <v>1.3935408559553331E-3</v>
      </c>
      <c r="H607" s="9">
        <f t="shared" si="40"/>
        <v>-1.4293540855955333E-2</v>
      </c>
      <c r="I607" s="11">
        <f t="shared" si="41"/>
        <v>-2.4493540855955332E-2</v>
      </c>
    </row>
    <row r="608" spans="1:9" x14ac:dyDescent="0.3">
      <c r="A608" s="1">
        <v>44514</v>
      </c>
      <c r="B608" s="5">
        <v>2645</v>
      </c>
      <c r="C608" s="3">
        <v>-6.8699999999999997E-2</v>
      </c>
      <c r="D608" s="5">
        <v>1298.6400000000001</v>
      </c>
      <c r="E608" s="6">
        <v>-4.2599999999999999E-2</v>
      </c>
      <c r="F608" s="7">
        <v>7.4450000000000002E-2</v>
      </c>
      <c r="G608" s="7">
        <f t="shared" si="39"/>
        <v>1.3818943747370138E-3</v>
      </c>
      <c r="H608" s="9">
        <f t="shared" si="40"/>
        <v>-7.0081894374737011E-2</v>
      </c>
      <c r="I608" s="11">
        <f t="shared" si="41"/>
        <v>-4.3981894374737013E-2</v>
      </c>
    </row>
    <row r="609" spans="1:9" x14ac:dyDescent="0.3">
      <c r="A609" s="1">
        <v>44521</v>
      </c>
      <c r="B609" s="5">
        <v>2536</v>
      </c>
      <c r="C609" s="3">
        <v>-4.1200000000000001E-2</v>
      </c>
      <c r="D609" s="5">
        <v>1318.31</v>
      </c>
      <c r="E609" s="6">
        <v>1.5100000000000001E-2</v>
      </c>
      <c r="F609" s="7">
        <v>7.6520000000000005E-2</v>
      </c>
      <c r="G609" s="7">
        <f t="shared" si="39"/>
        <v>1.4189599334222258E-3</v>
      </c>
      <c r="H609" s="9">
        <f t="shared" si="40"/>
        <v>-4.2618959933422226E-2</v>
      </c>
      <c r="I609" s="11">
        <f t="shared" si="41"/>
        <v>1.3681040066577775E-2</v>
      </c>
    </row>
    <row r="610" spans="1:9" x14ac:dyDescent="0.3">
      <c r="A610" s="1">
        <v>44528</v>
      </c>
      <c r="B610" s="5">
        <v>2661</v>
      </c>
      <c r="C610" s="3">
        <v>4.9299999999999997E-2</v>
      </c>
      <c r="D610" s="5">
        <v>1431.94</v>
      </c>
      <c r="E610" s="6">
        <v>8.6199999999999999E-2</v>
      </c>
      <c r="F610" s="7">
        <v>7.3410000000000003E-2</v>
      </c>
      <c r="G610" s="7">
        <f t="shared" si="39"/>
        <v>1.3632456239203172E-3</v>
      </c>
      <c r="H610" s="9">
        <f t="shared" si="40"/>
        <v>4.7936754376079679E-2</v>
      </c>
      <c r="I610" s="11">
        <f t="shared" si="41"/>
        <v>8.4836754376079682E-2</v>
      </c>
    </row>
    <row r="611" spans="1:9" x14ac:dyDescent="0.3">
      <c r="A611" s="1">
        <v>44535</v>
      </c>
      <c r="B611" s="5">
        <v>2707</v>
      </c>
      <c r="C611" s="3">
        <v>1.7299999999999999E-2</v>
      </c>
      <c r="D611" s="5">
        <v>1389.16</v>
      </c>
      <c r="E611" s="6">
        <v>-2.9899999999999999E-2</v>
      </c>
      <c r="F611" s="7">
        <v>7.2499999999999995E-2</v>
      </c>
      <c r="G611" s="7">
        <f t="shared" si="39"/>
        <v>1.3469134245813752E-3</v>
      </c>
      <c r="H611" s="9">
        <f t="shared" si="40"/>
        <v>1.5953086575418624E-2</v>
      </c>
      <c r="I611" s="11">
        <f t="shared" si="41"/>
        <v>-3.1246913424581375E-2</v>
      </c>
    </row>
    <row r="612" spans="1:9" x14ac:dyDescent="0.3">
      <c r="A612" s="1">
        <v>44542</v>
      </c>
      <c r="B612" s="5">
        <v>2645</v>
      </c>
      <c r="C612" s="3">
        <v>-2.29E-2</v>
      </c>
      <c r="D612" s="5">
        <v>1395</v>
      </c>
      <c r="E612" s="6">
        <v>4.1999999999999997E-3</v>
      </c>
      <c r="F612" s="7">
        <v>7.5480000000000005E-2</v>
      </c>
      <c r="G612" s="7">
        <f t="shared" si="39"/>
        <v>1.4003463696474761E-3</v>
      </c>
      <c r="H612" s="9">
        <f t="shared" si="40"/>
        <v>-2.4300346369647476E-2</v>
      </c>
      <c r="I612" s="11">
        <f t="shared" si="41"/>
        <v>2.7996536303525237E-3</v>
      </c>
    </row>
    <row r="613" spans="1:9" x14ac:dyDescent="0.3">
      <c r="A613" s="1">
        <v>44549</v>
      </c>
      <c r="B613" s="5">
        <v>2647</v>
      </c>
      <c r="C613" s="3">
        <v>8.0000000000000004E-4</v>
      </c>
      <c r="D613" s="5">
        <v>1401.66</v>
      </c>
      <c r="E613" s="6">
        <v>4.7999999999999996E-3</v>
      </c>
      <c r="F613" s="7">
        <v>7.6100000000000001E-2</v>
      </c>
      <c r="G613" s="7">
        <f t="shared" si="39"/>
        <v>1.411445041187509E-3</v>
      </c>
      <c r="H613" s="9">
        <f t="shared" si="40"/>
        <v>-6.1144504118750898E-4</v>
      </c>
      <c r="I613" s="11">
        <f t="shared" si="41"/>
        <v>3.3885549588124906E-3</v>
      </c>
    </row>
    <row r="614" spans="1:9" x14ac:dyDescent="0.3">
      <c r="A614" s="1">
        <v>44556</v>
      </c>
      <c r="B614" s="5">
        <v>2690</v>
      </c>
      <c r="C614" s="3">
        <v>1.6199999999999999E-2</v>
      </c>
      <c r="D614" s="5">
        <v>1410.97</v>
      </c>
      <c r="E614" s="6">
        <v>6.6E-3</v>
      </c>
      <c r="F614" s="6">
        <v>7.6399999999999996E-2</v>
      </c>
      <c r="G614" s="7">
        <f t="shared" si="39"/>
        <v>1.416813114816895E-3</v>
      </c>
      <c r="H614" s="9">
        <f t="shared" si="40"/>
        <v>1.4783186885183104E-2</v>
      </c>
      <c r="I614" s="11">
        <f t="shared" si="41"/>
        <v>5.183186885183105E-3</v>
      </c>
    </row>
    <row r="615" spans="1:9" x14ac:dyDescent="0.3">
      <c r="A615" s="1">
        <v>44563</v>
      </c>
      <c r="B615" s="5">
        <v>2651</v>
      </c>
      <c r="C615" s="3">
        <v>-1.4500000000000001E-2</v>
      </c>
      <c r="D615" s="5">
        <v>1394.22</v>
      </c>
      <c r="E615" s="6">
        <v>-1.1900000000000001E-2</v>
      </c>
      <c r="F615" s="6">
        <v>8.2479999999999998E-2</v>
      </c>
      <c r="G615" s="7">
        <f t="shared" ref="G615:G678" si="42">(1+F615)^(1/52)-1</f>
        <v>1.5252910166179134E-3</v>
      </c>
      <c r="H615" s="9">
        <f t="shared" ref="H615:H678" si="43">C615-G615</f>
        <v>-1.6025291016617912E-2</v>
      </c>
      <c r="I615" s="11">
        <f t="shared" ref="I615:I678" si="44">E615-G615</f>
        <v>-1.3425291016617914E-2</v>
      </c>
    </row>
    <row r="616" spans="1:9" x14ac:dyDescent="0.3">
      <c r="A616" s="1">
        <v>44570</v>
      </c>
      <c r="B616" s="5">
        <v>2801</v>
      </c>
      <c r="C616" s="3">
        <v>5.6599999999999998E-2</v>
      </c>
      <c r="D616" s="5">
        <v>1431.84</v>
      </c>
      <c r="E616" s="6">
        <v>2.7E-2</v>
      </c>
      <c r="F616" s="6">
        <v>8.3059999999999995E-2</v>
      </c>
      <c r="G616" s="7">
        <f t="shared" si="42"/>
        <v>1.5356079969730541E-3</v>
      </c>
      <c r="H616" s="9">
        <f t="shared" si="43"/>
        <v>5.5064392003026943E-2</v>
      </c>
      <c r="I616" s="11">
        <f t="shared" si="44"/>
        <v>2.5464392003026946E-2</v>
      </c>
    </row>
    <row r="617" spans="1:9" x14ac:dyDescent="0.3">
      <c r="A617" s="1">
        <v>44577</v>
      </c>
      <c r="B617" s="5">
        <v>2851</v>
      </c>
      <c r="C617" s="3">
        <v>1.7899999999999999E-2</v>
      </c>
      <c r="D617" s="5">
        <v>1523.56</v>
      </c>
      <c r="E617" s="6">
        <v>6.4100000000000004E-2</v>
      </c>
      <c r="F617" s="6">
        <v>8.1449999999999995E-2</v>
      </c>
      <c r="G617" s="7">
        <f t="shared" si="42"/>
        <v>1.506956112333091E-3</v>
      </c>
      <c r="H617" s="9">
        <f t="shared" si="43"/>
        <v>1.6393043887666908E-2</v>
      </c>
      <c r="I617" s="11">
        <f t="shared" si="44"/>
        <v>6.2593043887666913E-2</v>
      </c>
    </row>
    <row r="618" spans="1:9" x14ac:dyDescent="0.3">
      <c r="A618" s="1">
        <v>44584</v>
      </c>
      <c r="B618" s="5">
        <v>2886</v>
      </c>
      <c r="C618" s="3">
        <v>1.23E-2</v>
      </c>
      <c r="D618" s="5">
        <v>1529.85</v>
      </c>
      <c r="E618" s="6">
        <v>4.1000000000000003E-3</v>
      </c>
      <c r="F618" s="6">
        <v>8.6050000000000001E-2</v>
      </c>
      <c r="G618" s="7">
        <f t="shared" si="42"/>
        <v>1.5887079877958676E-3</v>
      </c>
      <c r="H618" s="9">
        <f t="shared" si="43"/>
        <v>1.0711292012204133E-2</v>
      </c>
      <c r="I618" s="11">
        <f t="shared" si="44"/>
        <v>2.5112920122041327E-3</v>
      </c>
    </row>
    <row r="619" spans="1:9" x14ac:dyDescent="0.3">
      <c r="A619" s="1">
        <v>44591</v>
      </c>
      <c r="B619" s="5">
        <v>2901</v>
      </c>
      <c r="C619" s="3">
        <v>5.1999999999999998E-3</v>
      </c>
      <c r="D619" s="5">
        <v>1522.41</v>
      </c>
      <c r="E619" s="6">
        <v>-4.8999999999999998E-3</v>
      </c>
      <c r="F619" s="6">
        <v>8.406000000000001E-2</v>
      </c>
      <c r="G619" s="7">
        <f t="shared" si="42"/>
        <v>1.553383175491474E-3</v>
      </c>
      <c r="H619" s="9">
        <f t="shared" si="43"/>
        <v>3.6466168245085258E-3</v>
      </c>
      <c r="I619" s="11">
        <f t="shared" si="44"/>
        <v>-6.4533831754914738E-3</v>
      </c>
    </row>
    <row r="620" spans="1:9" x14ac:dyDescent="0.3">
      <c r="A620" s="1">
        <v>44598</v>
      </c>
      <c r="B620" s="5">
        <v>2972</v>
      </c>
      <c r="C620" s="3">
        <v>2.4500000000000001E-2</v>
      </c>
      <c r="D620" s="5">
        <v>1492.8</v>
      </c>
      <c r="E620" s="6">
        <v>-1.9400000000000001E-2</v>
      </c>
      <c r="F620" s="6">
        <v>8.932000000000001E-2</v>
      </c>
      <c r="G620" s="7">
        <f t="shared" si="42"/>
        <v>1.646616655177624E-3</v>
      </c>
      <c r="H620" s="9">
        <f t="shared" si="43"/>
        <v>2.2853383344822377E-2</v>
      </c>
      <c r="I620" s="11">
        <f t="shared" si="44"/>
        <v>-2.1046616655177625E-2</v>
      </c>
    </row>
    <row r="621" spans="1:9" x14ac:dyDescent="0.3">
      <c r="A621" s="1">
        <v>44605</v>
      </c>
      <c r="B621" s="5">
        <v>2997</v>
      </c>
      <c r="C621" s="3">
        <v>8.3999999999999995E-3</v>
      </c>
      <c r="D621" s="5">
        <v>1493.88</v>
      </c>
      <c r="E621" s="6">
        <v>6.9999999999999999E-4</v>
      </c>
      <c r="F621" s="6">
        <v>8.7260000000000004E-2</v>
      </c>
      <c r="G621" s="7">
        <f t="shared" si="42"/>
        <v>1.6101558721079989E-3</v>
      </c>
      <c r="H621" s="9">
        <f t="shared" si="43"/>
        <v>6.7898441278920005E-3</v>
      </c>
      <c r="I621" s="11">
        <f t="shared" si="44"/>
        <v>-9.1015587210799894E-4</v>
      </c>
    </row>
    <row r="622" spans="1:9" x14ac:dyDescent="0.3">
      <c r="A622" s="1">
        <v>44612</v>
      </c>
      <c r="B622" s="5">
        <v>3064</v>
      </c>
      <c r="C622" s="3">
        <v>2.24E-2</v>
      </c>
      <c r="D622" s="5">
        <v>1516.24</v>
      </c>
      <c r="E622" s="6">
        <v>1.4999999999999999E-2</v>
      </c>
      <c r="F622" s="6">
        <v>9.0999999999999998E-2</v>
      </c>
      <c r="G622" s="7">
        <f t="shared" si="42"/>
        <v>1.6763016340988202E-3</v>
      </c>
      <c r="H622" s="9">
        <f t="shared" si="43"/>
        <v>2.072369836590118E-2</v>
      </c>
      <c r="I622" s="11">
        <f t="shared" si="44"/>
        <v>1.3323698365901179E-2</v>
      </c>
    </row>
    <row r="623" spans="1:9" x14ac:dyDescent="0.3">
      <c r="A623" s="1">
        <v>44619</v>
      </c>
      <c r="B623" s="5">
        <v>3340</v>
      </c>
      <c r="C623" s="3">
        <v>9.01E-2</v>
      </c>
      <c r="D623" s="5">
        <v>1542.13</v>
      </c>
      <c r="E623" s="6">
        <v>1.7100000000000001E-2</v>
      </c>
      <c r="F623" s="6">
        <v>0.09</v>
      </c>
      <c r="G623" s="7">
        <f t="shared" si="42"/>
        <v>1.6586374091545064E-3</v>
      </c>
      <c r="H623" s="9">
        <f t="shared" si="43"/>
        <v>8.8441362590845493E-2</v>
      </c>
      <c r="I623" s="11">
        <f t="shared" si="44"/>
        <v>1.5441362590845494E-2</v>
      </c>
    </row>
    <row r="624" spans="1:9" x14ac:dyDescent="0.3">
      <c r="A624" s="1">
        <v>44626</v>
      </c>
      <c r="B624" s="5">
        <v>3400</v>
      </c>
      <c r="C624" s="3">
        <v>1.7999999999999999E-2</v>
      </c>
      <c r="D624" s="5">
        <v>1548.46</v>
      </c>
      <c r="E624" s="6">
        <v>4.1000000000000003E-3</v>
      </c>
      <c r="F624" s="6">
        <v>9.3900000000000011E-2</v>
      </c>
      <c r="G624" s="7">
        <f t="shared" si="42"/>
        <v>1.7274382312331138E-3</v>
      </c>
      <c r="H624" s="9">
        <f t="shared" si="43"/>
        <v>1.6272561768766885E-2</v>
      </c>
      <c r="I624" s="11">
        <f t="shared" si="44"/>
        <v>2.3725617687668865E-3</v>
      </c>
    </row>
    <row r="625" spans="1:9" x14ac:dyDescent="0.3">
      <c r="A625" s="1">
        <v>44633</v>
      </c>
      <c r="B625" s="5">
        <v>3270</v>
      </c>
      <c r="C625" s="3">
        <v>-3.8199999999999998E-2</v>
      </c>
      <c r="D625" s="5">
        <v>1539.7</v>
      </c>
      <c r="E625" s="6">
        <v>-5.7000000000000002E-3</v>
      </c>
      <c r="F625" s="6">
        <v>9.4E-2</v>
      </c>
      <c r="G625" s="7">
        <f t="shared" si="42"/>
        <v>1.7291991897909753E-3</v>
      </c>
      <c r="H625" s="9">
        <f t="shared" si="43"/>
        <v>-3.9929199189790973E-2</v>
      </c>
      <c r="I625" s="11">
        <f t="shared" si="44"/>
        <v>-7.4291991897909755E-3</v>
      </c>
    </row>
    <row r="626" spans="1:9" x14ac:dyDescent="0.3">
      <c r="A626" s="1">
        <v>44640</v>
      </c>
      <c r="B626" s="5">
        <v>3590</v>
      </c>
      <c r="C626" s="3">
        <v>9.7900000000000001E-2</v>
      </c>
      <c r="D626" s="5">
        <v>1606.88</v>
      </c>
      <c r="E626" s="6">
        <v>4.36E-2</v>
      </c>
      <c r="F626" s="6">
        <v>0.10039999999999999</v>
      </c>
      <c r="G626" s="7">
        <f t="shared" si="42"/>
        <v>1.8415734263861339E-3</v>
      </c>
      <c r="H626" s="9">
        <f t="shared" si="43"/>
        <v>9.6058426573613867E-2</v>
      </c>
      <c r="I626" s="11">
        <f t="shared" si="44"/>
        <v>4.1758426573613866E-2</v>
      </c>
    </row>
    <row r="627" spans="1:9" x14ac:dyDescent="0.3">
      <c r="A627" s="1">
        <v>44647</v>
      </c>
      <c r="B627" s="5">
        <v>3530</v>
      </c>
      <c r="C627" s="3">
        <v>-1.67E-2</v>
      </c>
      <c r="D627" s="5">
        <v>1626.89</v>
      </c>
      <c r="E627" s="6">
        <v>1.2500000000000001E-2</v>
      </c>
      <c r="F627" s="6">
        <v>9.11E-2</v>
      </c>
      <c r="G627" s="7">
        <f t="shared" si="42"/>
        <v>1.678067183137788E-3</v>
      </c>
      <c r="H627" s="9">
        <f t="shared" si="43"/>
        <v>-1.8378067183137788E-2</v>
      </c>
      <c r="I627" s="11">
        <f t="shared" si="44"/>
        <v>1.0821932816862213E-2</v>
      </c>
    </row>
    <row r="628" spans="1:9" x14ac:dyDescent="0.3">
      <c r="A628" s="1">
        <v>44654</v>
      </c>
      <c r="B628" s="5">
        <v>3570</v>
      </c>
      <c r="C628" s="3">
        <v>1.1299999999999999E-2</v>
      </c>
      <c r="D628" s="5">
        <v>1625.53</v>
      </c>
      <c r="E628" s="6">
        <v>-8.0000000000000004E-4</v>
      </c>
      <c r="F628" s="6">
        <v>9.2249999999999999E-2</v>
      </c>
      <c r="G628" s="7">
        <f t="shared" si="42"/>
        <v>1.6983595981436839E-3</v>
      </c>
      <c r="H628" s="9">
        <f t="shared" si="43"/>
        <v>9.6016404018563154E-3</v>
      </c>
      <c r="I628" s="11">
        <f t="shared" si="44"/>
        <v>-2.4983595981436838E-3</v>
      </c>
    </row>
    <row r="629" spans="1:9" x14ac:dyDescent="0.3">
      <c r="A629" s="1">
        <v>44661</v>
      </c>
      <c r="B629" s="5">
        <v>3346</v>
      </c>
      <c r="C629" s="3">
        <v>-6.2700000000000006E-2</v>
      </c>
      <c r="D629" s="5">
        <v>1615.12</v>
      </c>
      <c r="E629" s="6">
        <v>-6.4000000000000003E-3</v>
      </c>
      <c r="F629" s="6">
        <v>9.2789999999999997E-2</v>
      </c>
      <c r="G629" s="7">
        <f t="shared" si="42"/>
        <v>1.7078809815924689E-3</v>
      </c>
      <c r="H629" s="9">
        <f t="shared" si="43"/>
        <v>-6.4407880981592475E-2</v>
      </c>
      <c r="I629" s="11">
        <f t="shared" si="44"/>
        <v>-8.1078809815924684E-3</v>
      </c>
    </row>
    <row r="630" spans="1:9" x14ac:dyDescent="0.3">
      <c r="A630" s="1">
        <v>44668</v>
      </c>
      <c r="B630" s="5">
        <v>3355</v>
      </c>
      <c r="C630" s="3">
        <v>2.7000000000000001E-3</v>
      </c>
      <c r="D630" s="5">
        <v>1614.75</v>
      </c>
      <c r="E630" s="6">
        <v>-2.0000000000000001E-4</v>
      </c>
      <c r="F630" s="6">
        <v>9.7189999999999999E-2</v>
      </c>
      <c r="G630" s="7">
        <f t="shared" si="42"/>
        <v>1.785291082759155E-3</v>
      </c>
      <c r="H630" s="9">
        <f t="shared" si="43"/>
        <v>9.147089172408451E-4</v>
      </c>
      <c r="I630" s="11">
        <f t="shared" si="44"/>
        <v>-1.9852910827591551E-3</v>
      </c>
    </row>
    <row r="631" spans="1:9" x14ac:dyDescent="0.3">
      <c r="A631" s="1">
        <v>44675</v>
      </c>
      <c r="B631" s="5">
        <v>3206</v>
      </c>
      <c r="C631" s="3">
        <v>-4.4400000000000002E-2</v>
      </c>
      <c r="D631" s="5">
        <v>1562.46</v>
      </c>
      <c r="E631" s="6">
        <v>-3.2399999999999998E-2</v>
      </c>
      <c r="F631" s="6">
        <v>0.10169</v>
      </c>
      <c r="G631" s="7">
        <f t="shared" si="42"/>
        <v>1.8641462188933033E-3</v>
      </c>
      <c r="H631" s="9">
        <f t="shared" si="43"/>
        <v>-4.6264146218893305E-2</v>
      </c>
      <c r="I631" s="11">
        <f t="shared" si="44"/>
        <v>-3.4264146218893302E-2</v>
      </c>
    </row>
    <row r="632" spans="1:9" x14ac:dyDescent="0.3">
      <c r="A632" s="1">
        <v>44682</v>
      </c>
      <c r="B632" s="5">
        <v>3278</v>
      </c>
      <c r="C632" s="3">
        <v>2.2499999999999999E-2</v>
      </c>
      <c r="D632" s="5">
        <v>1556.15</v>
      </c>
      <c r="E632" s="6">
        <v>-4.0000000000000001E-3</v>
      </c>
      <c r="F632" s="6">
        <v>0.10439</v>
      </c>
      <c r="G632" s="7">
        <f t="shared" si="42"/>
        <v>1.9113078082124701E-3</v>
      </c>
      <c r="H632" s="9">
        <f t="shared" si="43"/>
        <v>2.0588692191787529E-2</v>
      </c>
      <c r="I632" s="11">
        <f t="shared" si="44"/>
        <v>-5.9113078082124702E-3</v>
      </c>
    </row>
    <row r="633" spans="1:9" x14ac:dyDescent="0.3">
      <c r="A633" s="1">
        <v>44689</v>
      </c>
      <c r="B633" s="5">
        <v>3102</v>
      </c>
      <c r="C633" s="3">
        <v>-5.3699999999999998E-2</v>
      </c>
      <c r="D633" s="5">
        <v>1512.12</v>
      </c>
      <c r="E633" s="6">
        <v>-2.8299999999999999E-2</v>
      </c>
      <c r="F633" s="6">
        <v>0.10800000000000001</v>
      </c>
      <c r="G633" s="7">
        <f t="shared" si="42"/>
        <v>1.9741882318071724E-3</v>
      </c>
      <c r="H633" s="9">
        <f t="shared" si="43"/>
        <v>-5.567418823180717E-2</v>
      </c>
      <c r="I633" s="11">
        <f t="shared" si="44"/>
        <v>-3.0274188231807171E-2</v>
      </c>
    </row>
    <row r="634" spans="1:9" x14ac:dyDescent="0.3">
      <c r="A634" s="1">
        <v>44696</v>
      </c>
      <c r="B634" s="5">
        <v>2839</v>
      </c>
      <c r="C634" s="3">
        <v>-8.48E-2</v>
      </c>
      <c r="D634" s="5">
        <v>1459.25</v>
      </c>
      <c r="E634" s="6">
        <v>-3.5000000000000003E-2</v>
      </c>
      <c r="F634" s="6">
        <v>0.10619999999999999</v>
      </c>
      <c r="G634" s="7">
        <f t="shared" si="42"/>
        <v>1.9428602692717067E-3</v>
      </c>
      <c r="H634" s="9">
        <f t="shared" si="43"/>
        <v>-8.6742860269271707E-2</v>
      </c>
      <c r="I634" s="11">
        <f t="shared" si="44"/>
        <v>-3.694286026927171E-2</v>
      </c>
    </row>
    <row r="635" spans="1:9" x14ac:dyDescent="0.3">
      <c r="A635" s="1">
        <v>44703</v>
      </c>
      <c r="B635" s="5">
        <v>2999</v>
      </c>
      <c r="C635" s="3">
        <v>5.6399999999999999E-2</v>
      </c>
      <c r="D635" s="5">
        <v>1532.31</v>
      </c>
      <c r="E635" s="6">
        <v>5.0099999999999999E-2</v>
      </c>
      <c r="F635" s="6">
        <v>0.10733000000000001</v>
      </c>
      <c r="G635" s="7">
        <f t="shared" si="42"/>
        <v>1.9625331038144456E-3</v>
      </c>
      <c r="H635" s="9">
        <f t="shared" si="43"/>
        <v>5.4437466896185553E-2</v>
      </c>
      <c r="I635" s="11">
        <f t="shared" si="44"/>
        <v>4.8137466896185553E-2</v>
      </c>
    </row>
    <row r="636" spans="1:9" x14ac:dyDescent="0.3">
      <c r="A636" s="1">
        <v>44710</v>
      </c>
      <c r="B636" s="5">
        <v>3300</v>
      </c>
      <c r="C636" s="3">
        <v>0.1004</v>
      </c>
      <c r="D636" s="5">
        <v>1614.09</v>
      </c>
      <c r="E636" s="6">
        <v>5.3400000000000003E-2</v>
      </c>
      <c r="F636" s="6">
        <v>0.10051</v>
      </c>
      <c r="G636" s="7">
        <f t="shared" si="42"/>
        <v>1.8434992500591108E-3</v>
      </c>
      <c r="H636" s="9">
        <f t="shared" si="43"/>
        <v>9.8556500749940892E-2</v>
      </c>
      <c r="I636" s="11">
        <f t="shared" si="44"/>
        <v>5.1556500749940892E-2</v>
      </c>
    </row>
    <row r="637" spans="1:9" x14ac:dyDescent="0.3">
      <c r="A637" s="1">
        <v>44717</v>
      </c>
      <c r="B637" s="5">
        <v>3150</v>
      </c>
      <c r="C637" s="3">
        <v>-4.5499999999999999E-2</v>
      </c>
      <c r="D637" s="5">
        <v>1530.73</v>
      </c>
      <c r="E637" s="6">
        <v>-5.16E-2</v>
      </c>
      <c r="F637" s="6">
        <v>0.1085</v>
      </c>
      <c r="G637" s="7">
        <f t="shared" si="42"/>
        <v>1.9828815854303627E-3</v>
      </c>
      <c r="H637" s="9">
        <f t="shared" si="43"/>
        <v>-4.7482881585430362E-2</v>
      </c>
      <c r="I637" s="11">
        <f t="shared" si="44"/>
        <v>-5.3582881585430363E-2</v>
      </c>
    </row>
    <row r="638" spans="1:9" x14ac:dyDescent="0.3">
      <c r="A638" s="1">
        <v>44724</v>
      </c>
      <c r="B638" s="5">
        <v>2760</v>
      </c>
      <c r="C638" s="3">
        <v>-0.12379999999999999</v>
      </c>
      <c r="D638" s="5">
        <v>1454.02</v>
      </c>
      <c r="E638" s="6">
        <v>-5.0099999999999999E-2</v>
      </c>
      <c r="F638" s="6">
        <v>0.11</v>
      </c>
      <c r="G638" s="7">
        <f t="shared" si="42"/>
        <v>2.0089385902342105E-3</v>
      </c>
      <c r="H638" s="9">
        <f t="shared" si="43"/>
        <v>-0.1258089385902342</v>
      </c>
      <c r="I638" s="11">
        <f t="shared" si="44"/>
        <v>-5.2108938590234209E-2</v>
      </c>
    </row>
    <row r="639" spans="1:9" x14ac:dyDescent="0.3">
      <c r="A639" s="1">
        <v>44731</v>
      </c>
      <c r="B639" s="5">
        <v>2139</v>
      </c>
      <c r="C639" s="3">
        <v>-0.22500000000000001</v>
      </c>
      <c r="D639" s="5">
        <v>1365.96</v>
      </c>
      <c r="E639" s="6">
        <v>-6.0600000000000001E-2</v>
      </c>
      <c r="F639" s="6">
        <v>0.11337999999999999</v>
      </c>
      <c r="G639" s="7">
        <f t="shared" si="42"/>
        <v>2.0675273472607891E-3</v>
      </c>
      <c r="H639" s="9">
        <f t="shared" si="43"/>
        <v>-0.22706752734726079</v>
      </c>
      <c r="I639" s="11">
        <f t="shared" si="44"/>
        <v>-6.266752734726079E-2</v>
      </c>
    </row>
    <row r="640" spans="1:9" x14ac:dyDescent="0.3">
      <c r="A640" s="1">
        <v>44738</v>
      </c>
      <c r="B640" s="5">
        <v>2350</v>
      </c>
      <c r="C640" s="3">
        <v>9.8599999999999993E-2</v>
      </c>
      <c r="D640" s="5">
        <v>1357.98</v>
      </c>
      <c r="E640" s="6">
        <v>-5.7999999999999996E-3</v>
      </c>
      <c r="F640" s="6">
        <v>0.10884000000000001</v>
      </c>
      <c r="G640" s="7">
        <f t="shared" si="42"/>
        <v>1.9887908694407042E-3</v>
      </c>
      <c r="H640" s="9">
        <f t="shared" si="43"/>
        <v>9.6611209130559289E-2</v>
      </c>
      <c r="I640" s="11">
        <f t="shared" si="44"/>
        <v>-7.7887908694407038E-3</v>
      </c>
    </row>
    <row r="641" spans="1:9" x14ac:dyDescent="0.3">
      <c r="A641" s="1">
        <v>44745</v>
      </c>
      <c r="B641" s="5">
        <v>2300</v>
      </c>
      <c r="C641" s="3">
        <v>-2.1299999999999999E-2</v>
      </c>
      <c r="D641" s="5">
        <v>1354.92</v>
      </c>
      <c r="E641" s="6">
        <v>-2.3E-3</v>
      </c>
      <c r="F641" s="6">
        <v>0.11337</v>
      </c>
      <c r="G641" s="7">
        <f t="shared" si="42"/>
        <v>2.0673542651661325E-3</v>
      </c>
      <c r="H641" s="9">
        <f t="shared" si="43"/>
        <v>-2.3367354265166132E-2</v>
      </c>
      <c r="I641" s="11">
        <f t="shared" si="44"/>
        <v>-4.3673542651661325E-3</v>
      </c>
    </row>
    <row r="642" spans="1:9" x14ac:dyDescent="0.3">
      <c r="A642" s="1">
        <v>44752</v>
      </c>
      <c r="B642" s="5">
        <v>2098</v>
      </c>
      <c r="C642" s="3">
        <v>-8.7800000000000003E-2</v>
      </c>
      <c r="D642" s="5">
        <v>1274.19</v>
      </c>
      <c r="E642" s="6">
        <v>-5.96E-2</v>
      </c>
      <c r="F642" s="6">
        <v>0.1285</v>
      </c>
      <c r="G642" s="7">
        <f t="shared" si="42"/>
        <v>2.3274989932116075E-3</v>
      </c>
      <c r="H642" s="9">
        <f t="shared" si="43"/>
        <v>-9.0127498993211611E-2</v>
      </c>
      <c r="I642" s="11">
        <f t="shared" si="44"/>
        <v>-6.1927498993211608E-2</v>
      </c>
    </row>
    <row r="643" spans="1:9" x14ac:dyDescent="0.3">
      <c r="A643" s="1">
        <v>44759</v>
      </c>
      <c r="B643" s="5">
        <v>2060</v>
      </c>
      <c r="C643" s="3">
        <v>-1.8100000000000002E-2</v>
      </c>
      <c r="D643" s="5">
        <v>1259.8</v>
      </c>
      <c r="E643" s="6">
        <v>-1.1299999999999999E-2</v>
      </c>
      <c r="F643" s="6">
        <v>0.12520000000000001</v>
      </c>
      <c r="G643" s="7">
        <f t="shared" si="42"/>
        <v>2.2710518179367423E-3</v>
      </c>
      <c r="H643" s="9">
        <f t="shared" si="43"/>
        <v>-2.0371051817936744E-2</v>
      </c>
      <c r="I643" s="11">
        <f t="shared" si="44"/>
        <v>-1.3571051817936742E-2</v>
      </c>
    </row>
    <row r="644" spans="1:9" x14ac:dyDescent="0.3">
      <c r="A644" s="1">
        <v>44766</v>
      </c>
      <c r="B644" s="5">
        <v>2280</v>
      </c>
      <c r="C644" s="3">
        <v>0.10680000000000001</v>
      </c>
      <c r="D644" s="5">
        <v>1295.96</v>
      </c>
      <c r="E644" s="6">
        <v>2.87E-2</v>
      </c>
      <c r="F644" s="6">
        <v>0.11749999999999999</v>
      </c>
      <c r="G644" s="7">
        <f t="shared" si="42"/>
        <v>2.1387077703101109E-3</v>
      </c>
      <c r="H644" s="9">
        <f t="shared" si="43"/>
        <v>0.1046612922296899</v>
      </c>
      <c r="I644" s="11">
        <f t="shared" si="44"/>
        <v>2.6561292229689889E-2</v>
      </c>
    </row>
    <row r="645" spans="1:9" x14ac:dyDescent="0.3">
      <c r="A645" s="1">
        <v>44773</v>
      </c>
      <c r="B645" s="5">
        <v>2250</v>
      </c>
      <c r="C645" s="3">
        <v>-1.32E-2</v>
      </c>
      <c r="D645" s="5">
        <v>1300.0899999999999</v>
      </c>
      <c r="E645" s="6">
        <v>3.2000000000000002E-3</v>
      </c>
      <c r="F645" s="6">
        <v>0.1197</v>
      </c>
      <c r="G645" s="7">
        <f t="shared" si="42"/>
        <v>2.1766113923082919E-3</v>
      </c>
      <c r="H645" s="9">
        <f t="shared" si="43"/>
        <v>-1.5376611392308292E-2</v>
      </c>
      <c r="I645" s="11">
        <f t="shared" si="44"/>
        <v>1.0233886076917082E-3</v>
      </c>
    </row>
    <row r="646" spans="1:9" x14ac:dyDescent="0.3">
      <c r="A646" s="1">
        <v>44780</v>
      </c>
      <c r="B646" s="5">
        <v>2348</v>
      </c>
      <c r="C646" s="3">
        <v>4.36E-2</v>
      </c>
      <c r="D646" s="5">
        <v>1330.82</v>
      </c>
      <c r="E646" s="6">
        <v>2.3599999999999999E-2</v>
      </c>
      <c r="F646" s="6">
        <v>0.11436</v>
      </c>
      <c r="G646" s="7">
        <f t="shared" si="42"/>
        <v>2.0844820006469256E-3</v>
      </c>
      <c r="H646" s="9">
        <f t="shared" si="43"/>
        <v>4.1515517999353074E-2</v>
      </c>
      <c r="I646" s="11">
        <f t="shared" si="44"/>
        <v>2.1515517999353074E-2</v>
      </c>
    </row>
    <row r="647" spans="1:9" x14ac:dyDescent="0.3">
      <c r="A647" s="1">
        <v>44787</v>
      </c>
      <c r="B647" s="5">
        <v>2267</v>
      </c>
      <c r="C647" s="3">
        <v>-3.4500000000000003E-2</v>
      </c>
      <c r="D647" s="5">
        <v>1307.78</v>
      </c>
      <c r="E647" s="6">
        <v>-1.7299999999999999E-2</v>
      </c>
      <c r="F647" s="6">
        <v>0.11789999999999999</v>
      </c>
      <c r="G647" s="7">
        <f t="shared" si="42"/>
        <v>2.1456047783621202E-3</v>
      </c>
      <c r="H647" s="9">
        <f t="shared" si="43"/>
        <v>-3.6645604778362123E-2</v>
      </c>
      <c r="I647" s="11">
        <f t="shared" si="44"/>
        <v>-1.944560477836212E-2</v>
      </c>
    </row>
    <row r="648" spans="1:9" x14ac:dyDescent="0.3">
      <c r="A648" s="1">
        <v>44794</v>
      </c>
      <c r="B648" s="5">
        <v>2418</v>
      </c>
      <c r="C648" s="3">
        <v>6.6600000000000006E-2</v>
      </c>
      <c r="D648" s="5">
        <v>1298.8399999999999</v>
      </c>
      <c r="E648" s="6">
        <v>-6.7999999999999996E-3</v>
      </c>
      <c r="F648" s="6">
        <v>0.11766</v>
      </c>
      <c r="G648" s="7">
        <f t="shared" si="42"/>
        <v>2.1414668640360457E-3</v>
      </c>
      <c r="H648" s="9">
        <f t="shared" si="43"/>
        <v>6.4458533135963961E-2</v>
      </c>
      <c r="I648" s="11">
        <f t="shared" si="44"/>
        <v>-8.9414668640360462E-3</v>
      </c>
    </row>
    <row r="649" spans="1:9" x14ac:dyDescent="0.3">
      <c r="A649" s="1">
        <v>44801</v>
      </c>
      <c r="B649" s="5">
        <v>2298</v>
      </c>
      <c r="C649" s="3">
        <v>-4.9599999999999998E-2</v>
      </c>
      <c r="D649" s="5">
        <v>1232.9100000000001</v>
      </c>
      <c r="E649" s="6">
        <v>-5.0799999999999998E-2</v>
      </c>
      <c r="F649" s="6">
        <v>0.1195</v>
      </c>
      <c r="G649" s="7">
        <f t="shared" si="42"/>
        <v>2.1731686280908047E-3</v>
      </c>
      <c r="H649" s="9">
        <f t="shared" si="43"/>
        <v>-5.1773168628090803E-2</v>
      </c>
      <c r="I649" s="11">
        <f t="shared" si="44"/>
        <v>-5.2973168628090803E-2</v>
      </c>
    </row>
    <row r="650" spans="1:9" x14ac:dyDescent="0.3">
      <c r="A650" s="1">
        <v>44808</v>
      </c>
      <c r="B650" s="5">
        <v>2332</v>
      </c>
      <c r="C650" s="3">
        <v>1.4800000000000001E-2</v>
      </c>
      <c r="D650" s="5">
        <v>1222.51</v>
      </c>
      <c r="E650" s="6">
        <v>-8.3999999999999995E-3</v>
      </c>
      <c r="F650" s="6">
        <v>0.12135</v>
      </c>
      <c r="G650" s="7">
        <f t="shared" si="42"/>
        <v>2.2049912060431165E-3</v>
      </c>
      <c r="H650" s="9">
        <f t="shared" si="43"/>
        <v>1.2595008793956884E-2</v>
      </c>
      <c r="I650" s="11">
        <f t="shared" si="44"/>
        <v>-1.0604991206043116E-2</v>
      </c>
    </row>
    <row r="651" spans="1:9" x14ac:dyDescent="0.3">
      <c r="A651" s="1">
        <v>44815</v>
      </c>
      <c r="B651" s="5">
        <v>2300</v>
      </c>
      <c r="C651" s="3">
        <v>-1.37E-2</v>
      </c>
      <c r="D651" s="5">
        <v>1209.58</v>
      </c>
      <c r="E651" s="6">
        <v>-1.06E-2</v>
      </c>
      <c r="F651" s="6">
        <v>0.12315</v>
      </c>
      <c r="G651" s="7">
        <f t="shared" si="42"/>
        <v>2.2359043303055159E-3</v>
      </c>
      <c r="H651" s="9">
        <f t="shared" si="43"/>
        <v>-1.5935904330305516E-2</v>
      </c>
      <c r="I651" s="11">
        <f t="shared" si="44"/>
        <v>-1.2835904330305516E-2</v>
      </c>
    </row>
    <row r="652" spans="1:9" x14ac:dyDescent="0.3">
      <c r="A652" s="1">
        <v>44822</v>
      </c>
      <c r="B652" s="5">
        <v>2034</v>
      </c>
      <c r="C652" s="3">
        <v>-0.1157</v>
      </c>
      <c r="D652" s="5">
        <v>1157.27</v>
      </c>
      <c r="E652" s="6">
        <v>-4.3200000000000002E-2</v>
      </c>
      <c r="F652" s="6">
        <v>0.1234</v>
      </c>
      <c r="G652" s="7">
        <f t="shared" si="42"/>
        <v>2.2401939763665446E-3</v>
      </c>
      <c r="H652" s="9">
        <f t="shared" si="43"/>
        <v>-0.11794019397636654</v>
      </c>
      <c r="I652" s="11">
        <f t="shared" si="44"/>
        <v>-4.5440193976366547E-2</v>
      </c>
    </row>
    <row r="653" spans="1:9" x14ac:dyDescent="0.3">
      <c r="A653" s="1">
        <v>44829</v>
      </c>
      <c r="B653" s="5">
        <v>2074</v>
      </c>
      <c r="C653" s="3">
        <v>1.9699999999999999E-2</v>
      </c>
      <c r="D653" s="5">
        <v>1128.24</v>
      </c>
      <c r="E653" s="6">
        <v>-2.5100000000000001E-2</v>
      </c>
      <c r="F653" s="6">
        <v>0.12575</v>
      </c>
      <c r="G653" s="7">
        <f t="shared" si="42"/>
        <v>2.280470946607549E-3</v>
      </c>
      <c r="H653" s="9">
        <f t="shared" si="43"/>
        <v>1.741952905339245E-2</v>
      </c>
      <c r="I653" s="11">
        <f t="shared" si="44"/>
        <v>-2.738047094660755E-2</v>
      </c>
    </row>
    <row r="654" spans="1:9" x14ac:dyDescent="0.3">
      <c r="A654" s="1">
        <v>44836</v>
      </c>
      <c r="B654" s="5">
        <v>2340</v>
      </c>
      <c r="C654" s="3">
        <v>0.1283</v>
      </c>
      <c r="D654" s="5">
        <v>1209.0999999999999</v>
      </c>
      <c r="E654" s="6">
        <v>7.17E-2</v>
      </c>
      <c r="F654" s="6">
        <v>0.12875</v>
      </c>
      <c r="G654" s="7">
        <f t="shared" si="42"/>
        <v>2.3317686952739614E-3</v>
      </c>
      <c r="H654" s="9">
        <f t="shared" si="43"/>
        <v>0.12596823130472604</v>
      </c>
      <c r="I654" s="11">
        <f t="shared" si="44"/>
        <v>6.9368231304726038E-2</v>
      </c>
    </row>
    <row r="655" spans="1:9" x14ac:dyDescent="0.3">
      <c r="A655" s="1">
        <v>44843</v>
      </c>
      <c r="B655" s="5">
        <v>2160</v>
      </c>
      <c r="C655" s="3">
        <v>-7.6899999999999996E-2</v>
      </c>
      <c r="D655" s="5">
        <v>1168.32</v>
      </c>
      <c r="E655" s="6">
        <v>-3.3700000000000001E-2</v>
      </c>
      <c r="F655" s="6">
        <v>0.14187</v>
      </c>
      <c r="G655" s="7">
        <f t="shared" si="42"/>
        <v>2.5545509610362949E-3</v>
      </c>
      <c r="H655" s="9">
        <f t="shared" si="43"/>
        <v>-7.9454550961036291E-2</v>
      </c>
      <c r="I655" s="11">
        <f t="shared" si="44"/>
        <v>-3.6254550961036296E-2</v>
      </c>
    </row>
    <row r="656" spans="1:9" x14ac:dyDescent="0.3">
      <c r="A656" s="1">
        <v>44850</v>
      </c>
      <c r="B656" s="5">
        <v>2353</v>
      </c>
      <c r="C656" s="3">
        <v>8.9399999999999993E-2</v>
      </c>
      <c r="D656" s="5">
        <v>1231.6400000000001</v>
      </c>
      <c r="E656" s="6">
        <v>5.4199999999999998E-2</v>
      </c>
      <c r="F656" s="6">
        <v>0.14730000000000001</v>
      </c>
      <c r="G656" s="7">
        <f t="shared" si="42"/>
        <v>2.6460206230112249E-3</v>
      </c>
      <c r="H656" s="9">
        <f t="shared" si="43"/>
        <v>8.6753979376988768E-2</v>
      </c>
      <c r="I656" s="11">
        <f t="shared" si="44"/>
        <v>5.1553979376988773E-2</v>
      </c>
    </row>
    <row r="657" spans="1:9" x14ac:dyDescent="0.3">
      <c r="A657" s="1">
        <v>44857</v>
      </c>
      <c r="B657" s="5">
        <v>2410</v>
      </c>
      <c r="C657" s="3">
        <v>2.4199999999999999E-2</v>
      </c>
      <c r="D657" s="5">
        <v>1219.69</v>
      </c>
      <c r="E657" s="6">
        <v>-9.7000000000000003E-3</v>
      </c>
      <c r="F657" s="6">
        <v>0.13649</v>
      </c>
      <c r="G657" s="7">
        <f t="shared" si="42"/>
        <v>2.4635018565006828E-3</v>
      </c>
      <c r="H657" s="9">
        <f t="shared" si="43"/>
        <v>2.1736498143499317E-2</v>
      </c>
      <c r="I657" s="11">
        <f t="shared" si="44"/>
        <v>-1.2163501856500683E-2</v>
      </c>
    </row>
    <row r="658" spans="1:9" x14ac:dyDescent="0.3">
      <c r="A658" s="1">
        <v>44864</v>
      </c>
      <c r="B658" s="5">
        <v>2540</v>
      </c>
      <c r="C658" s="3">
        <v>5.3900000000000003E-2</v>
      </c>
      <c r="D658" s="5">
        <v>1244.24</v>
      </c>
      <c r="E658" s="6">
        <v>2.01E-2</v>
      </c>
      <c r="F658" s="6">
        <v>0.14299000000000001</v>
      </c>
      <c r="G658" s="7">
        <f t="shared" si="42"/>
        <v>2.5734525024174726E-3</v>
      </c>
      <c r="H658" s="9">
        <f t="shared" si="43"/>
        <v>5.1326547497582531E-2</v>
      </c>
      <c r="I658" s="11">
        <f t="shared" si="44"/>
        <v>1.7526547497582527E-2</v>
      </c>
    </row>
    <row r="659" spans="1:9" x14ac:dyDescent="0.3">
      <c r="A659" s="1">
        <v>44871</v>
      </c>
      <c r="B659" s="5">
        <v>2385</v>
      </c>
      <c r="C659" s="3">
        <v>-6.0999999999999999E-2</v>
      </c>
      <c r="D659" s="5">
        <v>1266.56</v>
      </c>
      <c r="E659" s="6">
        <v>1.7899999999999999E-2</v>
      </c>
      <c r="F659" s="6">
        <v>0.1331</v>
      </c>
      <c r="G659" s="7">
        <f t="shared" si="42"/>
        <v>2.4059134105844926E-3</v>
      </c>
      <c r="H659" s="9">
        <f t="shared" si="43"/>
        <v>-6.3405913410584491E-2</v>
      </c>
      <c r="I659" s="11">
        <f t="shared" si="44"/>
        <v>1.5494086589415507E-2</v>
      </c>
    </row>
    <row r="660" spans="1:9" x14ac:dyDescent="0.3">
      <c r="A660" s="1">
        <v>44878</v>
      </c>
      <c r="B660" s="5">
        <v>2469</v>
      </c>
      <c r="C660" s="3">
        <v>3.5200000000000002E-2</v>
      </c>
      <c r="D660" s="5">
        <v>1282.68</v>
      </c>
      <c r="E660" s="6">
        <v>1.2699999999999999E-2</v>
      </c>
      <c r="F660" s="6">
        <v>0.1328</v>
      </c>
      <c r="G660" s="7">
        <f t="shared" si="42"/>
        <v>2.4008089520044518E-3</v>
      </c>
      <c r="H660" s="9">
        <f t="shared" si="43"/>
        <v>3.279919104799555E-2</v>
      </c>
      <c r="I660" s="11">
        <f t="shared" si="44"/>
        <v>1.0299191047995548E-2</v>
      </c>
    </row>
    <row r="661" spans="1:9" x14ac:dyDescent="0.3">
      <c r="A661" s="1">
        <v>44885</v>
      </c>
      <c r="B661" s="5">
        <v>2457</v>
      </c>
      <c r="C661" s="3">
        <v>-4.8999999999999998E-3</v>
      </c>
      <c r="D661" s="5">
        <v>1266.25</v>
      </c>
      <c r="E661" s="6">
        <v>-1.2800000000000001E-2</v>
      </c>
      <c r="F661" s="6">
        <v>0.13149</v>
      </c>
      <c r="G661" s="7">
        <f t="shared" si="42"/>
        <v>2.3785039367729688E-3</v>
      </c>
      <c r="H661" s="9">
        <f t="shared" si="43"/>
        <v>-7.2785039367729686E-3</v>
      </c>
      <c r="I661" s="11">
        <f t="shared" si="44"/>
        <v>-1.5178503936772969E-2</v>
      </c>
    </row>
    <row r="662" spans="1:9" x14ac:dyDescent="0.3">
      <c r="A662" s="1">
        <v>44892</v>
      </c>
      <c r="B662" s="5">
        <v>2297</v>
      </c>
      <c r="C662" s="3">
        <v>-6.5100000000000005E-2</v>
      </c>
      <c r="D662" s="5">
        <v>1240.93</v>
      </c>
      <c r="E662" s="6">
        <v>-0.02</v>
      </c>
      <c r="F662" s="6">
        <v>0.121</v>
      </c>
      <c r="G662" s="7">
        <f t="shared" si="42"/>
        <v>2.1989746695305623E-3</v>
      </c>
      <c r="H662" s="9">
        <f t="shared" si="43"/>
        <v>-6.7298974669530567E-2</v>
      </c>
      <c r="I662" s="11">
        <f t="shared" si="44"/>
        <v>-2.2198974669530563E-2</v>
      </c>
    </row>
    <row r="663" spans="1:9" x14ac:dyDescent="0.3">
      <c r="A663" s="1">
        <v>44899</v>
      </c>
      <c r="B663" s="5">
        <v>2195</v>
      </c>
      <c r="C663" s="3">
        <v>-4.4400000000000002E-2</v>
      </c>
      <c r="D663" s="5">
        <v>1236.18</v>
      </c>
      <c r="E663" s="6">
        <v>-3.8E-3</v>
      </c>
      <c r="F663" s="6">
        <v>0.12848999999999999</v>
      </c>
      <c r="G663" s="7">
        <f t="shared" si="42"/>
        <v>2.3273281858338102E-3</v>
      </c>
      <c r="H663" s="9">
        <f t="shared" si="43"/>
        <v>-4.6727328185833812E-2</v>
      </c>
      <c r="I663" s="11">
        <f t="shared" si="44"/>
        <v>-6.1273281858338097E-3</v>
      </c>
    </row>
    <row r="664" spans="1:9" x14ac:dyDescent="0.3">
      <c r="A664" s="1">
        <v>44906</v>
      </c>
      <c r="B664" s="5">
        <v>2133</v>
      </c>
      <c r="C664" s="3">
        <v>-2.8199999999999999E-2</v>
      </c>
      <c r="D664" s="5">
        <v>1211.5899999999999</v>
      </c>
      <c r="E664" s="6">
        <v>-1.9900000000000001E-2</v>
      </c>
      <c r="F664" s="6">
        <v>0.12761</v>
      </c>
      <c r="G664" s="7">
        <f t="shared" si="42"/>
        <v>2.3122913203563744E-3</v>
      </c>
      <c r="H664" s="9">
        <f t="shared" si="43"/>
        <v>-3.0512291320356374E-2</v>
      </c>
      <c r="I664" s="11">
        <f t="shared" si="44"/>
        <v>-2.2212291320356375E-2</v>
      </c>
    </row>
    <row r="665" spans="1:9" x14ac:dyDescent="0.3">
      <c r="A665" s="1">
        <v>44913</v>
      </c>
      <c r="B665" s="5">
        <v>2300</v>
      </c>
      <c r="C665" s="3">
        <v>7.8299999999999995E-2</v>
      </c>
      <c r="D665" s="5">
        <v>1252.68</v>
      </c>
      <c r="E665" s="6">
        <v>3.39E-2</v>
      </c>
      <c r="F665" s="6">
        <v>0.12628999999999999</v>
      </c>
      <c r="G665" s="7">
        <f t="shared" si="42"/>
        <v>2.2897144284219628E-3</v>
      </c>
      <c r="H665" s="9">
        <f t="shared" si="43"/>
        <v>7.6010285571578032E-2</v>
      </c>
      <c r="I665" s="11">
        <f t="shared" si="44"/>
        <v>3.1610285571578037E-2</v>
      </c>
    </row>
    <row r="666" spans="1:9" x14ac:dyDescent="0.3">
      <c r="A666" s="1">
        <v>44920</v>
      </c>
      <c r="B666" s="5">
        <v>2420</v>
      </c>
      <c r="C666" s="3">
        <f>B666/B665-1</f>
        <v>5.2173913043478182E-2</v>
      </c>
      <c r="D666" s="5">
        <v>1286.07</v>
      </c>
      <c r="E666" s="6">
        <f>D666/D665-1</f>
        <v>2.6654851997317541E-2</v>
      </c>
      <c r="F666" s="6">
        <v>0.1275</v>
      </c>
      <c r="G666" s="7">
        <f t="shared" si="42"/>
        <v>2.3104109029810083E-3</v>
      </c>
      <c r="H666" s="9">
        <f t="shared" si="43"/>
        <v>4.9863502140497173E-2</v>
      </c>
      <c r="I666" s="11">
        <f t="shared" si="44"/>
        <v>2.4344441094336533E-2</v>
      </c>
    </row>
    <row r="667" spans="1:9" x14ac:dyDescent="0.3">
      <c r="A667" s="1">
        <v>44927</v>
      </c>
      <c r="B667" s="5">
        <v>2646</v>
      </c>
      <c r="C667" s="3">
        <f t="shared" ref="C667:C730" si="45">B667/B666-1</f>
        <v>9.3388429752066182E-2</v>
      </c>
      <c r="D667" s="5">
        <v>1326.74</v>
      </c>
      <c r="E667" s="6">
        <f t="shared" ref="E667:E730" si="46">D667/D666-1</f>
        <v>3.1623473061342056E-2</v>
      </c>
      <c r="F667" s="6">
        <v>0.12826340500266301</v>
      </c>
      <c r="G667" s="7">
        <f t="shared" si="42"/>
        <v>2.3234573781238943E-3</v>
      </c>
      <c r="H667" s="9">
        <f t="shared" si="43"/>
        <v>9.1064972373942288E-2</v>
      </c>
      <c r="I667" s="11">
        <f t="shared" si="44"/>
        <v>2.9300015683218161E-2</v>
      </c>
    </row>
    <row r="668" spans="1:9" x14ac:dyDescent="0.3">
      <c r="A668" s="1">
        <v>44934</v>
      </c>
      <c r="B668" s="5">
        <v>2714</v>
      </c>
      <c r="C668" s="3">
        <f t="shared" si="45"/>
        <v>2.5699168556311491E-2</v>
      </c>
      <c r="D668" s="5">
        <v>1337.44</v>
      </c>
      <c r="E668" s="6">
        <f t="shared" si="46"/>
        <v>8.0648808357326462E-3</v>
      </c>
      <c r="F668" s="6">
        <v>0.13132228470174201</v>
      </c>
      <c r="G668" s="7">
        <f t="shared" si="42"/>
        <v>2.3756464651285558E-3</v>
      </c>
      <c r="H668" s="9">
        <f t="shared" si="43"/>
        <v>2.3323522091182936E-2</v>
      </c>
      <c r="I668" s="11">
        <f t="shared" si="44"/>
        <v>5.6892343706040904E-3</v>
      </c>
    </row>
    <row r="669" spans="1:9" x14ac:dyDescent="0.3">
      <c r="A669" s="1">
        <v>44941</v>
      </c>
      <c r="B669" s="5">
        <v>2749</v>
      </c>
      <c r="C669" s="3">
        <f t="shared" si="45"/>
        <v>1.2896094325718588E-2</v>
      </c>
      <c r="D669" s="5">
        <v>1337.4</v>
      </c>
      <c r="E669" s="6">
        <f t="shared" si="46"/>
        <v>-2.9907883718149897E-5</v>
      </c>
      <c r="F669" s="6">
        <v>0.120896070918715</v>
      </c>
      <c r="G669" s="7">
        <f t="shared" si="42"/>
        <v>2.197187763018027E-3</v>
      </c>
      <c r="H669" s="9">
        <f t="shared" si="43"/>
        <v>1.0698906562700561E-2</v>
      </c>
      <c r="I669" s="11">
        <f t="shared" si="44"/>
        <v>-2.2270956467361769E-3</v>
      </c>
    </row>
    <row r="670" spans="1:9" x14ac:dyDescent="0.3">
      <c r="A670" s="1">
        <v>44948</v>
      </c>
      <c r="B670" s="5">
        <v>2607</v>
      </c>
      <c r="C670" s="3">
        <f t="shared" si="45"/>
        <v>-5.1655147326300499E-2</v>
      </c>
      <c r="D670" s="5">
        <v>1285.8900000000001</v>
      </c>
      <c r="E670" s="6">
        <f t="shared" si="46"/>
        <v>-3.8515029161058756E-2</v>
      </c>
      <c r="F670" s="6">
        <v>0.123796788400794</v>
      </c>
      <c r="G670" s="7">
        <f t="shared" si="42"/>
        <v>2.2470003817156581E-3</v>
      </c>
      <c r="H670" s="9">
        <f t="shared" si="43"/>
        <v>-5.3902147708016157E-2</v>
      </c>
      <c r="I670" s="11">
        <f t="shared" si="44"/>
        <v>-4.0762029542774414E-2</v>
      </c>
    </row>
    <row r="671" spans="1:9" x14ac:dyDescent="0.3">
      <c r="A671" s="1">
        <v>44955</v>
      </c>
      <c r="B671" s="5">
        <v>2537</v>
      </c>
      <c r="C671" s="3">
        <f t="shared" si="45"/>
        <v>-2.6850786344457256E-2</v>
      </c>
      <c r="D671" s="5">
        <v>1263.25</v>
      </c>
      <c r="E671" s="6">
        <f t="shared" si="46"/>
        <v>-1.7606482669590751E-2</v>
      </c>
      <c r="F671" s="6">
        <v>0.12113474504299999</v>
      </c>
      <c r="G671" s="7">
        <f t="shared" si="42"/>
        <v>2.2012911689577308E-3</v>
      </c>
      <c r="H671" s="9">
        <f t="shared" si="43"/>
        <v>-2.9052077513414987E-2</v>
      </c>
      <c r="I671" s="11">
        <f t="shared" si="44"/>
        <v>-1.9807773838548481E-2</v>
      </c>
    </row>
    <row r="672" spans="1:9" x14ac:dyDescent="0.3">
      <c r="A672" s="1">
        <v>44962</v>
      </c>
      <c r="B672" s="5">
        <v>2629</v>
      </c>
      <c r="C672" s="3">
        <f t="shared" si="45"/>
        <v>3.6263303113914125E-2</v>
      </c>
      <c r="D672" s="5">
        <v>1245.6500000000001</v>
      </c>
      <c r="E672" s="6">
        <f t="shared" si="46"/>
        <v>-1.3932317435186969E-2</v>
      </c>
      <c r="F672" s="6">
        <v>0.11798445382108801</v>
      </c>
      <c r="G672" s="7">
        <f t="shared" si="42"/>
        <v>2.1470606656075475E-3</v>
      </c>
      <c r="H672" s="9">
        <f t="shared" si="43"/>
        <v>3.4116242448306577E-2</v>
      </c>
      <c r="I672" s="11">
        <f t="shared" si="44"/>
        <v>-1.6079378100794517E-2</v>
      </c>
    </row>
    <row r="673" spans="1:9" x14ac:dyDescent="0.3">
      <c r="A673" s="1">
        <v>44969</v>
      </c>
      <c r="B673" s="5">
        <v>2536</v>
      </c>
      <c r="C673" s="3">
        <f t="shared" si="45"/>
        <v>-3.537466717383031E-2</v>
      </c>
      <c r="D673" s="5">
        <v>1209.8599999999999</v>
      </c>
      <c r="E673" s="6">
        <f t="shared" si="46"/>
        <v>-2.8731987315859353E-2</v>
      </c>
      <c r="F673" s="6">
        <v>0.11903749565536299</v>
      </c>
      <c r="G673" s="7">
        <f t="shared" si="42"/>
        <v>2.1652048500502286E-3</v>
      </c>
      <c r="H673" s="9">
        <f t="shared" si="43"/>
        <v>-3.7539872023880538E-2</v>
      </c>
      <c r="I673" s="11">
        <f t="shared" si="44"/>
        <v>-3.0897192165909582E-2</v>
      </c>
    </row>
    <row r="674" spans="1:9" x14ac:dyDescent="0.3">
      <c r="A674" s="1">
        <v>44976</v>
      </c>
      <c r="B674" s="5">
        <v>2620</v>
      </c>
      <c r="C674" s="3">
        <f t="shared" si="45"/>
        <v>3.3123028391167209E-2</v>
      </c>
      <c r="D674" s="5">
        <v>1193.54</v>
      </c>
      <c r="E674" s="6">
        <f t="shared" si="46"/>
        <v>-1.348916403550815E-2</v>
      </c>
      <c r="F674" s="6">
        <v>0.125997066647661</v>
      </c>
      <c r="G674" s="7">
        <f t="shared" si="42"/>
        <v>2.2847006640420719E-3</v>
      </c>
      <c r="H674" s="9">
        <f t="shared" si="43"/>
        <v>3.0838327727125137E-2</v>
      </c>
      <c r="I674" s="11">
        <f t="shared" si="44"/>
        <v>-1.5773864699550222E-2</v>
      </c>
    </row>
    <row r="675" spans="1:9" x14ac:dyDescent="0.3">
      <c r="A675" s="1">
        <v>44983</v>
      </c>
      <c r="B675" s="5">
        <v>2725</v>
      </c>
      <c r="C675" s="3">
        <f t="shared" si="45"/>
        <v>4.0076335877862634E-2</v>
      </c>
      <c r="D675" s="5">
        <v>1214.55</v>
      </c>
      <c r="E675" s="6">
        <f t="shared" si="46"/>
        <v>1.7603096670409046E-2</v>
      </c>
      <c r="F675" s="6">
        <v>0.127638430379754</v>
      </c>
      <c r="G675" s="7">
        <f t="shared" si="42"/>
        <v>2.3127773000075624E-3</v>
      </c>
      <c r="H675" s="9">
        <f t="shared" si="43"/>
        <v>3.7763558577855072E-2</v>
      </c>
      <c r="I675" s="11">
        <f t="shared" si="44"/>
        <v>1.5290319370401484E-2</v>
      </c>
    </row>
    <row r="676" spans="1:9" x14ac:dyDescent="0.3">
      <c r="A676" s="1">
        <v>44990</v>
      </c>
      <c r="B676" s="5">
        <v>2550</v>
      </c>
      <c r="C676" s="3">
        <f t="shared" si="45"/>
        <v>-6.422018348623848E-2</v>
      </c>
      <c r="D676" s="5">
        <v>1187.27</v>
      </c>
      <c r="E676" s="6">
        <f t="shared" si="46"/>
        <v>-2.2460993783705918E-2</v>
      </c>
      <c r="F676" s="6">
        <v>0.125136395590463</v>
      </c>
      <c r="G676" s="7">
        <f t="shared" si="42"/>
        <v>2.2699622573518763E-3</v>
      </c>
      <c r="H676" s="9">
        <f t="shared" si="43"/>
        <v>-6.6490145743590356E-2</v>
      </c>
      <c r="I676" s="11">
        <f t="shared" si="44"/>
        <v>-2.4730956041057794E-2</v>
      </c>
    </row>
    <row r="677" spans="1:9" x14ac:dyDescent="0.3">
      <c r="A677" s="1">
        <v>44997</v>
      </c>
      <c r="B677" s="5">
        <v>2400</v>
      </c>
      <c r="C677" s="3">
        <f t="shared" si="45"/>
        <v>-5.8823529411764719E-2</v>
      </c>
      <c r="D677" s="5">
        <v>1110.3900000000001</v>
      </c>
      <c r="E677" s="6">
        <f t="shared" si="46"/>
        <v>-6.4753594380385193E-2</v>
      </c>
      <c r="F677" s="6">
        <v>0.121560365065891</v>
      </c>
      <c r="G677" s="7">
        <f t="shared" si="42"/>
        <v>2.2086065173605451E-3</v>
      </c>
      <c r="H677" s="9">
        <f t="shared" si="43"/>
        <v>-6.1032135929125264E-2</v>
      </c>
      <c r="I677" s="11">
        <f t="shared" si="44"/>
        <v>-6.6962200897745738E-2</v>
      </c>
    </row>
    <row r="678" spans="1:9" x14ac:dyDescent="0.3">
      <c r="A678" s="1">
        <v>45004</v>
      </c>
      <c r="B678" s="5">
        <v>2297</v>
      </c>
      <c r="C678" s="3">
        <f t="shared" si="45"/>
        <v>-4.2916666666666714E-2</v>
      </c>
      <c r="D678" s="5">
        <v>1106.24</v>
      </c>
      <c r="E678" s="6">
        <f t="shared" si="46"/>
        <v>-3.7374255892075325E-3</v>
      </c>
      <c r="F678" s="6">
        <v>0.11932646709347799</v>
      </c>
      <c r="G678" s="7">
        <f t="shared" si="42"/>
        <v>2.1701809748839729E-3</v>
      </c>
      <c r="H678" s="9">
        <f t="shared" si="43"/>
        <v>-4.5086847641550687E-2</v>
      </c>
      <c r="I678" s="11">
        <f t="shared" si="44"/>
        <v>-5.9076065640915054E-3</v>
      </c>
    </row>
    <row r="679" spans="1:9" x14ac:dyDescent="0.3">
      <c r="A679" s="1">
        <v>45011</v>
      </c>
      <c r="B679" s="5">
        <v>2450</v>
      </c>
      <c r="C679" s="3">
        <f t="shared" si="45"/>
        <v>6.6608619939050984E-2</v>
      </c>
      <c r="D679" s="5">
        <v>1157.5899999999999</v>
      </c>
      <c r="E679" s="6">
        <f t="shared" si="46"/>
        <v>4.6418498698293176E-2</v>
      </c>
      <c r="F679" s="6">
        <v>0.11540176194650201</v>
      </c>
      <c r="G679" s="7">
        <f t="shared" ref="G679:G742" si="47">(1+F679)^(1/52)-1</f>
        <v>2.102489149245379E-3</v>
      </c>
      <c r="H679" s="9">
        <f t="shared" ref="H679:H742" si="48">C679-G679</f>
        <v>6.4506130789805605E-2</v>
      </c>
      <c r="I679" s="11">
        <f t="shared" ref="I679:I742" si="49">E679-G679</f>
        <v>4.4316009549047797E-2</v>
      </c>
    </row>
    <row r="680" spans="1:9" x14ac:dyDescent="0.3">
      <c r="A680" s="1">
        <v>45018</v>
      </c>
      <c r="B680" s="5">
        <v>2540</v>
      </c>
      <c r="C680" s="3">
        <f t="shared" si="45"/>
        <v>3.6734693877551017E-2</v>
      </c>
      <c r="D680" s="5">
        <v>1193.57</v>
      </c>
      <c r="E680" s="6">
        <f t="shared" si="46"/>
        <v>3.1081816532623874E-2</v>
      </c>
      <c r="F680" s="6">
        <v>0.114557338892432</v>
      </c>
      <c r="G680" s="7">
        <f t="shared" si="47"/>
        <v>2.0878943261593008E-3</v>
      </c>
      <c r="H680" s="9">
        <f t="shared" si="48"/>
        <v>3.4646799551391716E-2</v>
      </c>
      <c r="I680" s="11">
        <f t="shared" si="49"/>
        <v>2.8993922206464573E-2</v>
      </c>
    </row>
    <row r="681" spans="1:9" x14ac:dyDescent="0.3">
      <c r="A681" s="1">
        <v>45025</v>
      </c>
      <c r="B681" s="5">
        <v>2560</v>
      </c>
      <c r="C681" s="3">
        <f t="shared" si="45"/>
        <v>7.8740157480314821E-3</v>
      </c>
      <c r="D681" s="5">
        <v>1253.29</v>
      </c>
      <c r="E681" s="6">
        <f t="shared" si="46"/>
        <v>5.0034769640657784E-2</v>
      </c>
      <c r="F681" s="6">
        <v>0.111362056647583</v>
      </c>
      <c r="G681" s="7">
        <f t="shared" si="47"/>
        <v>2.0325694348239942E-3</v>
      </c>
      <c r="H681" s="9">
        <f t="shared" si="48"/>
        <v>5.8414463132074879E-3</v>
      </c>
      <c r="I681" s="11">
        <f t="shared" si="49"/>
        <v>4.8002200205833789E-2</v>
      </c>
    </row>
    <row r="682" spans="1:9" x14ac:dyDescent="0.3">
      <c r="A682" s="1">
        <v>45032</v>
      </c>
      <c r="B682" s="5">
        <v>2320</v>
      </c>
      <c r="C682" s="3">
        <f t="shared" si="45"/>
        <v>-9.375E-2</v>
      </c>
      <c r="D682" s="5">
        <v>1215.94</v>
      </c>
      <c r="E682" s="6">
        <f t="shared" si="46"/>
        <v>-2.9801562288057748E-2</v>
      </c>
      <c r="F682" s="6">
        <v>0.111964405228083</v>
      </c>
      <c r="G682" s="7">
        <f t="shared" si="47"/>
        <v>2.0430107550981624E-3</v>
      </c>
      <c r="H682" s="9">
        <f t="shared" si="48"/>
        <v>-9.5793010755098162E-2</v>
      </c>
      <c r="I682" s="11">
        <f t="shared" si="49"/>
        <v>-3.184457304315591E-2</v>
      </c>
    </row>
    <row r="683" spans="1:9" x14ac:dyDescent="0.3">
      <c r="A683" s="1">
        <v>45039</v>
      </c>
      <c r="B683" s="5">
        <v>2288</v>
      </c>
      <c r="C683" s="3">
        <f t="shared" si="45"/>
        <v>-1.379310344827589E-2</v>
      </c>
      <c r="D683" s="5">
        <v>1198.81</v>
      </c>
      <c r="E683" s="6">
        <f t="shared" si="46"/>
        <v>-1.4087866177607489E-2</v>
      </c>
      <c r="F683" s="6">
        <v>0.111920267330684</v>
      </c>
      <c r="G683" s="7">
        <f t="shared" si="47"/>
        <v>2.0422458417694855E-3</v>
      </c>
      <c r="H683" s="9">
        <f t="shared" si="48"/>
        <v>-1.5835349290045375E-2</v>
      </c>
      <c r="I683" s="11">
        <f t="shared" si="49"/>
        <v>-1.6130112019376974E-2</v>
      </c>
    </row>
    <row r="684" spans="1:9" x14ac:dyDescent="0.3">
      <c r="A684" s="1">
        <v>45046</v>
      </c>
      <c r="B684" s="5">
        <v>2081</v>
      </c>
      <c r="C684" s="3">
        <f t="shared" si="45"/>
        <v>-9.0472027972028024E-2</v>
      </c>
      <c r="D684" s="5">
        <v>1164.18</v>
      </c>
      <c r="E684" s="6">
        <f t="shared" si="46"/>
        <v>-2.8886979588091388E-2</v>
      </c>
      <c r="F684" s="6">
        <v>0.1146380170368</v>
      </c>
      <c r="G684" s="7">
        <f t="shared" si="47"/>
        <v>2.0892892180235378E-3</v>
      </c>
      <c r="H684" s="9">
        <f t="shared" si="48"/>
        <v>-9.2561317190051562E-2</v>
      </c>
      <c r="I684" s="11">
        <f t="shared" si="49"/>
        <v>-3.0976268806114926E-2</v>
      </c>
    </row>
    <row r="685" spans="1:9" x14ac:dyDescent="0.3">
      <c r="A685" s="1">
        <v>45053</v>
      </c>
      <c r="B685" s="5">
        <v>2125</v>
      </c>
      <c r="C685" s="3">
        <f t="shared" si="45"/>
        <v>2.1143680922633301E-2</v>
      </c>
      <c r="D685" s="5">
        <v>1159.1199999999999</v>
      </c>
      <c r="E685" s="6">
        <f t="shared" si="46"/>
        <v>-4.3464069130204619E-3</v>
      </c>
      <c r="F685" s="6">
        <v>0.11148060130764299</v>
      </c>
      <c r="G685" s="7">
        <f t="shared" si="47"/>
        <v>2.0346247678872942E-3</v>
      </c>
      <c r="H685" s="9">
        <f t="shared" si="48"/>
        <v>1.9109056154746007E-2</v>
      </c>
      <c r="I685" s="11">
        <f t="shared" si="49"/>
        <v>-6.3810316809077561E-3</v>
      </c>
    </row>
    <row r="686" spans="1:9" x14ac:dyDescent="0.3">
      <c r="A686" s="1">
        <v>45060</v>
      </c>
      <c r="B686" s="5">
        <v>2135</v>
      </c>
      <c r="C686" s="3">
        <f t="shared" si="45"/>
        <v>4.7058823529411153E-3</v>
      </c>
      <c r="D686" s="5">
        <v>1123.9000000000001</v>
      </c>
      <c r="E686" s="6">
        <f t="shared" si="46"/>
        <v>-3.03851197460141E-2</v>
      </c>
      <c r="F686" s="6">
        <v>0.10957925750771601</v>
      </c>
      <c r="G686" s="7">
        <f t="shared" si="47"/>
        <v>2.0016332173646845E-3</v>
      </c>
      <c r="H686" s="9">
        <f t="shared" si="48"/>
        <v>2.7042491355764309E-3</v>
      </c>
      <c r="I686" s="11">
        <f t="shared" si="49"/>
        <v>-3.2386752963378784E-2</v>
      </c>
    </row>
    <row r="687" spans="1:9" x14ac:dyDescent="0.3">
      <c r="A687" s="1">
        <v>45067</v>
      </c>
      <c r="B687" s="5">
        <v>2065</v>
      </c>
      <c r="C687" s="3">
        <f t="shared" si="45"/>
        <v>-3.2786885245901676E-2</v>
      </c>
      <c r="D687" s="5">
        <v>1100.97</v>
      </c>
      <c r="E687" s="6">
        <f t="shared" si="46"/>
        <v>-2.0402171011655867E-2</v>
      </c>
      <c r="F687" s="6">
        <v>0.10995058520858199</v>
      </c>
      <c r="G687" s="7">
        <f t="shared" si="47"/>
        <v>2.0080807395121969E-3</v>
      </c>
      <c r="H687" s="9">
        <f t="shared" si="48"/>
        <v>-3.4794965985413873E-2</v>
      </c>
      <c r="I687" s="11">
        <f t="shared" si="49"/>
        <v>-2.2410251751168064E-2</v>
      </c>
    </row>
    <row r="688" spans="1:9" x14ac:dyDescent="0.3">
      <c r="A688" s="1">
        <v>45074</v>
      </c>
      <c r="B688" s="5">
        <v>2116</v>
      </c>
      <c r="C688" s="3">
        <f t="shared" si="45"/>
        <v>2.4697336561743333E-2</v>
      </c>
      <c r="D688" s="5">
        <v>1147.97</v>
      </c>
      <c r="E688" s="6">
        <f t="shared" si="46"/>
        <v>4.2689628236918242E-2</v>
      </c>
      <c r="F688" s="6">
        <v>0.111447856689636</v>
      </c>
      <c r="G688" s="7">
        <f t="shared" si="47"/>
        <v>2.0340570616048659E-3</v>
      </c>
      <c r="H688" s="9">
        <f t="shared" si="48"/>
        <v>2.2663279500138467E-2</v>
      </c>
      <c r="I688" s="11">
        <f t="shared" si="49"/>
        <v>4.0655571175313376E-2</v>
      </c>
    </row>
    <row r="689" spans="1:9" x14ac:dyDescent="0.3">
      <c r="A689" s="1">
        <v>45081</v>
      </c>
      <c r="B689" s="5">
        <v>2172</v>
      </c>
      <c r="C689" s="3">
        <f t="shared" si="45"/>
        <v>2.6465028355387554E-2</v>
      </c>
      <c r="D689" s="5">
        <v>1183.97</v>
      </c>
      <c r="E689" s="6">
        <f t="shared" si="46"/>
        <v>3.1359704521895182E-2</v>
      </c>
      <c r="F689" s="6">
        <v>0.10870665242756</v>
      </c>
      <c r="G689" s="7">
        <f t="shared" si="47"/>
        <v>1.9864734675223428E-3</v>
      </c>
      <c r="H689" s="9">
        <f t="shared" si="48"/>
        <v>2.4478554887865211E-2</v>
      </c>
      <c r="I689" s="11">
        <f t="shared" si="49"/>
        <v>2.9373231054372839E-2</v>
      </c>
    </row>
    <row r="690" spans="1:9" x14ac:dyDescent="0.3">
      <c r="A690" s="1">
        <v>45088</v>
      </c>
      <c r="B690" s="5">
        <v>2200</v>
      </c>
      <c r="C690" s="3">
        <f t="shared" si="45"/>
        <v>1.2891344383057168E-2</v>
      </c>
      <c r="D690" s="5">
        <v>1173.9000000000001</v>
      </c>
      <c r="E690" s="6">
        <f t="shared" si="46"/>
        <v>-8.5052830730507623E-3</v>
      </c>
      <c r="F690" s="6">
        <v>0.103322483925293</v>
      </c>
      <c r="G690" s="7">
        <f t="shared" si="47"/>
        <v>1.8926747630949592E-3</v>
      </c>
      <c r="H690" s="9">
        <f t="shared" si="48"/>
        <v>1.0998669619962209E-2</v>
      </c>
      <c r="I690" s="11">
        <f t="shared" si="49"/>
        <v>-1.0397957836145721E-2</v>
      </c>
    </row>
    <row r="691" spans="1:9" x14ac:dyDescent="0.3">
      <c r="A691" s="1">
        <v>45095</v>
      </c>
      <c r="B691" s="5">
        <v>2140</v>
      </c>
      <c r="C691" s="3">
        <f t="shared" si="45"/>
        <v>-2.7272727272727226E-2</v>
      </c>
      <c r="D691" s="5">
        <v>1133.54</v>
      </c>
      <c r="E691" s="6">
        <f t="shared" si="46"/>
        <v>-3.438112275321592E-2</v>
      </c>
      <c r="F691" s="6">
        <v>0.103091269300063</v>
      </c>
      <c r="G691" s="7">
        <f t="shared" si="47"/>
        <v>1.8886366793147147E-3</v>
      </c>
      <c r="H691" s="9">
        <f t="shared" si="48"/>
        <v>-2.9161363952041941E-2</v>
      </c>
      <c r="I691" s="11">
        <f t="shared" si="49"/>
        <v>-3.6269759432530635E-2</v>
      </c>
    </row>
    <row r="692" spans="1:9" x14ac:dyDescent="0.3">
      <c r="A692" s="1">
        <v>45102</v>
      </c>
      <c r="B692" s="5">
        <v>2140</v>
      </c>
      <c r="C692" s="3">
        <f t="shared" si="45"/>
        <v>0</v>
      </c>
      <c r="D692" s="5">
        <v>1133.5999999999999</v>
      </c>
      <c r="E692" s="6">
        <f t="shared" si="46"/>
        <v>5.2931524251453865E-5</v>
      </c>
      <c r="F692" s="6">
        <v>0.10148964760418</v>
      </c>
      <c r="G692" s="7">
        <f t="shared" si="47"/>
        <v>1.8606420957689718E-3</v>
      </c>
      <c r="H692" s="9">
        <f t="shared" si="48"/>
        <v>-1.8606420957689718E-3</v>
      </c>
      <c r="I692" s="11">
        <f t="shared" si="49"/>
        <v>-1.8077105715175179E-3</v>
      </c>
    </row>
    <row r="693" spans="1:9" x14ac:dyDescent="0.3">
      <c r="A693" s="1">
        <v>45109</v>
      </c>
      <c r="B693" s="5">
        <v>2160</v>
      </c>
      <c r="C693" s="3">
        <f t="shared" si="45"/>
        <v>9.3457943925232545E-3</v>
      </c>
      <c r="D693" s="5">
        <v>1133.1099999999999</v>
      </c>
      <c r="E693" s="6">
        <f t="shared" si="46"/>
        <v>-4.3225123500356677E-4</v>
      </c>
      <c r="F693" s="6">
        <v>9.9647990979912907E-2</v>
      </c>
      <c r="G693" s="7">
        <f t="shared" si="47"/>
        <v>1.8284025777355328E-3</v>
      </c>
      <c r="H693" s="9">
        <f t="shared" si="48"/>
        <v>7.5173918147877217E-3</v>
      </c>
      <c r="I693" s="11">
        <f t="shared" si="49"/>
        <v>-2.2606538127390996E-3</v>
      </c>
    </row>
    <row r="694" spans="1:9" x14ac:dyDescent="0.3">
      <c r="A694" s="1">
        <v>45116</v>
      </c>
      <c r="B694" s="5">
        <v>2167</v>
      </c>
      <c r="C694" s="3">
        <f t="shared" si="45"/>
        <v>3.2407407407406552E-3</v>
      </c>
      <c r="D694" s="5">
        <v>1164.2</v>
      </c>
      <c r="E694" s="6">
        <f t="shared" si="46"/>
        <v>2.7437759793841776E-2</v>
      </c>
      <c r="F694" s="6">
        <v>0.10033485398403399</v>
      </c>
      <c r="G694" s="7">
        <f t="shared" si="47"/>
        <v>1.8404327942733723E-3</v>
      </c>
      <c r="H694" s="9">
        <f t="shared" si="48"/>
        <v>1.400307946467283E-3</v>
      </c>
      <c r="I694" s="11">
        <f t="shared" si="49"/>
        <v>2.5597326999568404E-2</v>
      </c>
    </row>
    <row r="695" spans="1:9" x14ac:dyDescent="0.3">
      <c r="A695" s="1">
        <v>45123</v>
      </c>
      <c r="B695" s="5">
        <v>2192</v>
      </c>
      <c r="C695" s="3">
        <f t="shared" si="45"/>
        <v>1.1536686663590201E-2</v>
      </c>
      <c r="D695" s="5">
        <v>1172.8499999999999</v>
      </c>
      <c r="E695" s="6">
        <f t="shared" si="46"/>
        <v>7.4299948462461796E-3</v>
      </c>
      <c r="F695" s="6">
        <v>9.6921614799158201E-2</v>
      </c>
      <c r="G695" s="7">
        <f t="shared" si="47"/>
        <v>1.7805780535484761E-3</v>
      </c>
      <c r="H695" s="9">
        <f t="shared" si="48"/>
        <v>9.7561086100417249E-3</v>
      </c>
      <c r="I695" s="11">
        <f t="shared" si="49"/>
        <v>5.6494167926977035E-3</v>
      </c>
    </row>
    <row r="696" spans="1:9" x14ac:dyDescent="0.3">
      <c r="A696" s="1">
        <v>45130</v>
      </c>
      <c r="B696" s="5">
        <v>2206</v>
      </c>
      <c r="C696" s="3">
        <f t="shared" si="45"/>
        <v>6.3868613138686747E-3</v>
      </c>
      <c r="D696" s="5">
        <v>1161.83</v>
      </c>
      <c r="E696" s="6">
        <f t="shared" si="46"/>
        <v>-9.3959159312785312E-3</v>
      </c>
      <c r="F696" s="6">
        <v>9.8752142549170294E-2</v>
      </c>
      <c r="G696" s="7">
        <f t="shared" si="47"/>
        <v>1.8127009596997645E-3</v>
      </c>
      <c r="H696" s="9">
        <f t="shared" si="48"/>
        <v>4.5741603541689102E-3</v>
      </c>
      <c r="I696" s="11">
        <f t="shared" si="49"/>
        <v>-1.1208616890978296E-2</v>
      </c>
    </row>
    <row r="697" spans="1:9" x14ac:dyDescent="0.3">
      <c r="A697" s="1">
        <v>45137</v>
      </c>
      <c r="B697" s="5">
        <v>2295</v>
      </c>
      <c r="C697" s="3">
        <f t="shared" si="45"/>
        <v>4.0344514959202105E-2</v>
      </c>
      <c r="D697" s="5">
        <v>1170.23</v>
      </c>
      <c r="E697" s="6">
        <f t="shared" si="46"/>
        <v>7.2299734040264241E-3</v>
      </c>
      <c r="F697" s="6">
        <v>0.101898503868582</v>
      </c>
      <c r="G697" s="7">
        <f t="shared" si="47"/>
        <v>1.867792246037725E-3</v>
      </c>
      <c r="H697" s="9">
        <f t="shared" si="48"/>
        <v>3.847672271316438E-2</v>
      </c>
      <c r="I697" s="11">
        <f t="shared" si="49"/>
        <v>5.3621811579886991E-3</v>
      </c>
    </row>
    <row r="698" spans="1:9" x14ac:dyDescent="0.3">
      <c r="A698" s="1">
        <v>45144</v>
      </c>
      <c r="B698" s="5">
        <v>2300</v>
      </c>
      <c r="C698" s="3">
        <f t="shared" si="45"/>
        <v>2.1786492374726851E-3</v>
      </c>
      <c r="D698" s="5">
        <v>1147.5</v>
      </c>
      <c r="E698" s="6">
        <f t="shared" si="46"/>
        <v>-1.9423532126163212E-2</v>
      </c>
      <c r="F698" s="6">
        <v>0.101770994743481</v>
      </c>
      <c r="G698" s="7">
        <f t="shared" si="47"/>
        <v>1.8655626232735312E-3</v>
      </c>
      <c r="H698" s="9">
        <f t="shared" si="48"/>
        <v>3.1308661419915396E-4</v>
      </c>
      <c r="I698" s="11">
        <f t="shared" si="49"/>
        <v>-2.1289094749436743E-2</v>
      </c>
    </row>
    <row r="699" spans="1:9" x14ac:dyDescent="0.3">
      <c r="A699" s="1">
        <v>45151</v>
      </c>
      <c r="B699" s="5">
        <v>2330</v>
      </c>
      <c r="C699" s="3">
        <f t="shared" si="45"/>
        <v>1.304347826086949E-2</v>
      </c>
      <c r="D699" s="5">
        <v>1132.6600000000001</v>
      </c>
      <c r="E699" s="6">
        <f t="shared" si="46"/>
        <v>-1.2932461873638279E-2</v>
      </c>
      <c r="F699" s="6">
        <v>0.10149519315223399</v>
      </c>
      <c r="G699" s="7">
        <f t="shared" si="47"/>
        <v>1.8607390947009694E-3</v>
      </c>
      <c r="H699" s="9">
        <f t="shared" si="48"/>
        <v>1.118273916616852E-2</v>
      </c>
      <c r="I699" s="11">
        <f t="shared" si="49"/>
        <v>-1.4793200968339248E-2</v>
      </c>
    </row>
    <row r="700" spans="1:9" x14ac:dyDescent="0.3">
      <c r="A700" s="1">
        <v>45158</v>
      </c>
      <c r="B700" s="5">
        <v>2310</v>
      </c>
      <c r="C700" s="3">
        <f t="shared" si="45"/>
        <v>-8.5836909871244149E-3</v>
      </c>
      <c r="D700" s="5">
        <v>1101.6400000000001</v>
      </c>
      <c r="E700" s="6">
        <f t="shared" si="46"/>
        <v>-2.7386859251673057E-2</v>
      </c>
      <c r="F700" s="6">
        <v>0.10540020825991099</v>
      </c>
      <c r="G700" s="7">
        <f t="shared" si="47"/>
        <v>1.9289243090512276E-3</v>
      </c>
      <c r="H700" s="9">
        <f t="shared" si="48"/>
        <v>-1.0512615296175642E-2</v>
      </c>
      <c r="I700" s="11">
        <f t="shared" si="49"/>
        <v>-2.9315783560724284E-2</v>
      </c>
    </row>
    <row r="701" spans="1:9" x14ac:dyDescent="0.3">
      <c r="A701" s="1">
        <v>45165</v>
      </c>
      <c r="B701" s="5">
        <v>2385</v>
      </c>
      <c r="C701" s="3">
        <f t="shared" si="45"/>
        <v>3.2467532467532534E-2</v>
      </c>
      <c r="D701" s="5">
        <v>1084.71</v>
      </c>
      <c r="E701" s="6">
        <f t="shared" si="46"/>
        <v>-1.5367996804763862E-2</v>
      </c>
      <c r="F701" s="6">
        <v>0.10293813918379201</v>
      </c>
      <c r="G701" s="7">
        <f t="shared" si="47"/>
        <v>1.8859618576108073E-3</v>
      </c>
      <c r="H701" s="9">
        <f t="shared" si="48"/>
        <v>3.0581570609921727E-2</v>
      </c>
      <c r="I701" s="11">
        <f t="shared" si="49"/>
        <v>-1.7253958662374669E-2</v>
      </c>
    </row>
    <row r="702" spans="1:9" x14ac:dyDescent="0.3">
      <c r="A702" s="1">
        <v>45172</v>
      </c>
      <c r="B702" s="5">
        <v>2429</v>
      </c>
      <c r="C702" s="3">
        <f t="shared" si="45"/>
        <v>1.8448637316561767E-2</v>
      </c>
      <c r="D702" s="5">
        <v>1069.1400000000001</v>
      </c>
      <c r="E702" s="6">
        <f t="shared" si="46"/>
        <v>-1.4354066985645897E-2</v>
      </c>
      <c r="F702" s="6">
        <v>0.10257916979298899</v>
      </c>
      <c r="G702" s="7">
        <f t="shared" si="47"/>
        <v>1.8796900816595574E-3</v>
      </c>
      <c r="H702" s="9">
        <f t="shared" si="48"/>
        <v>1.6568947234902209E-2</v>
      </c>
      <c r="I702" s="11">
        <f t="shared" si="49"/>
        <v>-1.6233757067305454E-2</v>
      </c>
    </row>
    <row r="703" spans="1:9" x14ac:dyDescent="0.3">
      <c r="A703" s="1">
        <v>45179</v>
      </c>
      <c r="B703" s="5">
        <v>2411</v>
      </c>
      <c r="C703" s="3">
        <f t="shared" si="45"/>
        <v>-7.4104569781803242E-3</v>
      </c>
      <c r="D703" s="5">
        <v>1098.6600000000001</v>
      </c>
      <c r="E703" s="6">
        <f t="shared" si="46"/>
        <v>2.7610977046972351E-2</v>
      </c>
      <c r="F703" s="6">
        <v>0.105235672372336</v>
      </c>
      <c r="G703" s="7">
        <f t="shared" si="47"/>
        <v>1.9260561292762102E-3</v>
      </c>
      <c r="H703" s="9">
        <f t="shared" si="48"/>
        <v>-9.3365131074565344E-3</v>
      </c>
      <c r="I703" s="11">
        <f t="shared" si="49"/>
        <v>2.5684920917696141E-2</v>
      </c>
    </row>
    <row r="704" spans="1:9" x14ac:dyDescent="0.3">
      <c r="A704" s="1">
        <v>45186</v>
      </c>
      <c r="B704" s="5">
        <v>2330</v>
      </c>
      <c r="C704" s="3">
        <f t="shared" si="45"/>
        <v>-3.3596018249688941E-2</v>
      </c>
      <c r="D704" s="5">
        <v>1090.53</v>
      </c>
      <c r="E704" s="6">
        <f t="shared" si="46"/>
        <v>-7.3999235432254951E-3</v>
      </c>
      <c r="F704" s="6">
        <v>0.10611321551353599</v>
      </c>
      <c r="G704" s="7">
        <f t="shared" si="47"/>
        <v>1.9413485722279411E-3</v>
      </c>
      <c r="H704" s="9">
        <f t="shared" si="48"/>
        <v>-3.5537366821916883E-2</v>
      </c>
      <c r="I704" s="11">
        <f t="shared" si="49"/>
        <v>-9.3412721154534362E-3</v>
      </c>
    </row>
    <row r="705" spans="1:9" x14ac:dyDescent="0.3">
      <c r="A705" s="1">
        <v>45193</v>
      </c>
      <c r="B705" s="5">
        <v>2365</v>
      </c>
      <c r="C705" s="3">
        <f t="shared" si="45"/>
        <v>1.5021459227467782E-2</v>
      </c>
      <c r="D705" s="5">
        <v>1121.6400000000001</v>
      </c>
      <c r="E705" s="6">
        <f t="shared" si="46"/>
        <v>2.8527413276113522E-2</v>
      </c>
      <c r="F705" s="6">
        <v>0.108964354905475</v>
      </c>
      <c r="G705" s="7">
        <f t="shared" si="47"/>
        <v>1.9909517445835245E-3</v>
      </c>
      <c r="H705" s="9">
        <f t="shared" si="48"/>
        <v>1.3030507482884257E-2</v>
      </c>
      <c r="I705" s="11">
        <f t="shared" si="49"/>
        <v>2.6536461531529998E-2</v>
      </c>
    </row>
    <row r="706" spans="1:9" x14ac:dyDescent="0.3">
      <c r="A706" s="1">
        <v>45200</v>
      </c>
      <c r="B706" s="5">
        <v>2359</v>
      </c>
      <c r="C706" s="3">
        <f t="shared" si="45"/>
        <v>-2.5369978858350573E-3</v>
      </c>
      <c r="D706" s="5">
        <v>1101.97</v>
      </c>
      <c r="E706" s="6">
        <f t="shared" si="46"/>
        <v>-1.753682108341359E-2</v>
      </c>
      <c r="F706" s="6">
        <v>0.11393185234987299</v>
      </c>
      <c r="G706" s="7">
        <f t="shared" si="47"/>
        <v>2.0770765604023467E-3</v>
      </c>
      <c r="H706" s="9">
        <f t="shared" si="48"/>
        <v>-4.6140744462374039E-3</v>
      </c>
      <c r="I706" s="11">
        <f t="shared" si="49"/>
        <v>-1.9613897643815936E-2</v>
      </c>
    </row>
    <row r="707" spans="1:9" x14ac:dyDescent="0.3">
      <c r="A707" s="1">
        <v>45207</v>
      </c>
      <c r="B707" s="5">
        <v>2585</v>
      </c>
      <c r="C707" s="3">
        <f t="shared" si="45"/>
        <v>9.5803306485799045E-2</v>
      </c>
      <c r="D707" s="5">
        <v>1116.29</v>
      </c>
      <c r="E707" s="6">
        <f t="shared" si="46"/>
        <v>1.2994909117308051E-2</v>
      </c>
      <c r="F707" s="6">
        <v>0.11814031900724199</v>
      </c>
      <c r="G707" s="7">
        <f t="shared" si="47"/>
        <v>2.149747319867279E-3</v>
      </c>
      <c r="H707" s="9">
        <f t="shared" si="48"/>
        <v>9.3653559165931766E-2</v>
      </c>
      <c r="I707" s="11">
        <f t="shared" si="49"/>
        <v>1.0845161797440772E-2</v>
      </c>
    </row>
    <row r="708" spans="1:9" x14ac:dyDescent="0.3">
      <c r="A708" s="1">
        <v>45214</v>
      </c>
      <c r="B708" s="5">
        <v>2575</v>
      </c>
      <c r="C708" s="3">
        <f t="shared" si="45"/>
        <v>-3.8684719535783119E-3</v>
      </c>
      <c r="D708" s="5">
        <v>1117.42</v>
      </c>
      <c r="E708" s="6">
        <f t="shared" si="46"/>
        <v>1.0122817547413288E-3</v>
      </c>
      <c r="F708" s="6">
        <v>0.11264297246366199</v>
      </c>
      <c r="G708" s="7">
        <f t="shared" si="47"/>
        <v>2.0547666336032666E-3</v>
      </c>
      <c r="H708" s="9">
        <f t="shared" si="48"/>
        <v>-5.9232385871815785E-3</v>
      </c>
      <c r="I708" s="11">
        <f t="shared" si="49"/>
        <v>-1.0424848788619379E-3</v>
      </c>
    </row>
    <row r="709" spans="1:9" x14ac:dyDescent="0.3">
      <c r="A709" s="1">
        <v>45221</v>
      </c>
      <c r="B709" s="5">
        <v>2470</v>
      </c>
      <c r="C709" s="3">
        <f t="shared" si="45"/>
        <v>-4.0776699029126173E-2</v>
      </c>
      <c r="D709" s="5">
        <v>1093.8399999999999</v>
      </c>
      <c r="E709" s="6">
        <f t="shared" si="46"/>
        <v>-2.1102181811673448E-2</v>
      </c>
      <c r="F709" s="6">
        <v>0.113256779035631</v>
      </c>
      <c r="G709" s="7">
        <f t="shared" si="47"/>
        <v>2.0653945066368973E-3</v>
      </c>
      <c r="H709" s="9">
        <f t="shared" si="48"/>
        <v>-4.2842093535763071E-2</v>
      </c>
      <c r="I709" s="11">
        <f t="shared" si="49"/>
        <v>-2.3167576318310346E-2</v>
      </c>
    </row>
    <row r="710" spans="1:9" x14ac:dyDescent="0.3">
      <c r="A710" s="1">
        <v>45228</v>
      </c>
      <c r="B710" s="5">
        <v>2460</v>
      </c>
      <c r="C710" s="3">
        <f t="shared" si="45"/>
        <v>-4.0485829959514552E-3</v>
      </c>
      <c r="D710" s="5">
        <v>1098.75</v>
      </c>
      <c r="E710" s="6">
        <f t="shared" si="46"/>
        <v>4.488773495209708E-3</v>
      </c>
      <c r="F710" s="6">
        <v>0.11485002210575</v>
      </c>
      <c r="G710" s="7">
        <f t="shared" si="47"/>
        <v>2.0929542263516954E-3</v>
      </c>
      <c r="H710" s="9">
        <f t="shared" si="48"/>
        <v>-6.1415372223031506E-3</v>
      </c>
      <c r="I710" s="11">
        <f t="shared" si="49"/>
        <v>2.3958192688580127E-3</v>
      </c>
    </row>
    <row r="711" spans="1:9" x14ac:dyDescent="0.3">
      <c r="A711" s="1">
        <v>45235</v>
      </c>
      <c r="B711" s="5">
        <v>2350</v>
      </c>
      <c r="C711" s="3">
        <f t="shared" si="45"/>
        <v>-4.471544715447151E-2</v>
      </c>
      <c r="D711" s="5">
        <v>1102.93</v>
      </c>
      <c r="E711" s="6">
        <f t="shared" si="46"/>
        <v>3.8043230944255768E-3</v>
      </c>
      <c r="F711" s="6">
        <v>0.107546892610239</v>
      </c>
      <c r="G711" s="7">
        <f t="shared" si="47"/>
        <v>1.9663068624204971E-3</v>
      </c>
      <c r="H711" s="9">
        <f t="shared" si="48"/>
        <v>-4.6681754016892008E-2</v>
      </c>
      <c r="I711" s="11">
        <f t="shared" si="49"/>
        <v>1.8380162320050797E-3</v>
      </c>
    </row>
    <row r="712" spans="1:9" x14ac:dyDescent="0.3">
      <c r="A712" s="1">
        <v>45242</v>
      </c>
      <c r="B712" s="5">
        <v>2480</v>
      </c>
      <c r="C712" s="3">
        <f t="shared" si="45"/>
        <v>5.5319148936170182E-2</v>
      </c>
      <c r="D712" s="5">
        <v>1125.22</v>
      </c>
      <c r="E712" s="6">
        <f t="shared" si="46"/>
        <v>2.0209804792688635E-2</v>
      </c>
      <c r="F712" s="6">
        <v>0.107740035262415</v>
      </c>
      <c r="G712" s="7">
        <f t="shared" si="47"/>
        <v>1.9696667806259338E-3</v>
      </c>
      <c r="H712" s="9">
        <f t="shared" si="48"/>
        <v>5.3349482155544248E-2</v>
      </c>
      <c r="I712" s="11">
        <f t="shared" si="49"/>
        <v>1.8240138012062701E-2</v>
      </c>
    </row>
    <row r="713" spans="1:9" x14ac:dyDescent="0.3">
      <c r="A713" s="1">
        <v>45249</v>
      </c>
      <c r="B713" s="5">
        <v>2575</v>
      </c>
      <c r="C713" s="3">
        <f t="shared" si="45"/>
        <v>3.8306451612903247E-2</v>
      </c>
      <c r="D713" s="5">
        <v>1135.46</v>
      </c>
      <c r="E713" s="6">
        <f t="shared" si="46"/>
        <v>9.1004425801177735E-3</v>
      </c>
      <c r="F713" s="6">
        <v>0.104272290799873</v>
      </c>
      <c r="G713" s="7">
        <f t="shared" si="47"/>
        <v>1.9092541102243565E-3</v>
      </c>
      <c r="H713" s="9">
        <f t="shared" si="48"/>
        <v>3.6397197502678891E-2</v>
      </c>
      <c r="I713" s="11">
        <f t="shared" si="49"/>
        <v>7.191188469893417E-3</v>
      </c>
    </row>
    <row r="714" spans="1:9" x14ac:dyDescent="0.3">
      <c r="A714" s="1">
        <v>45256</v>
      </c>
      <c r="B714" s="5">
        <v>2545</v>
      </c>
      <c r="C714" s="3">
        <f t="shared" si="45"/>
        <v>-1.1650485436893177E-2</v>
      </c>
      <c r="D714" s="5">
        <v>1151.79</v>
      </c>
      <c r="E714" s="6">
        <f t="shared" si="46"/>
        <v>1.4381836436334172E-2</v>
      </c>
      <c r="F714" s="6">
        <v>0.104052265230746</v>
      </c>
      <c r="G714" s="7">
        <f t="shared" si="47"/>
        <v>1.9054147004990973E-3</v>
      </c>
      <c r="H714" s="9">
        <f t="shared" si="48"/>
        <v>-1.3555900137392274E-2</v>
      </c>
      <c r="I714" s="11">
        <f t="shared" si="49"/>
        <v>1.2476421735835075E-2</v>
      </c>
    </row>
    <row r="715" spans="1:9" x14ac:dyDescent="0.3">
      <c r="A715" s="1">
        <v>45263</v>
      </c>
      <c r="B715" s="5">
        <v>2465</v>
      </c>
      <c r="C715" s="3">
        <f t="shared" si="45"/>
        <v>-3.143418467583492E-2</v>
      </c>
      <c r="D715" s="5">
        <v>1145.28</v>
      </c>
      <c r="E715" s="6">
        <f t="shared" si="46"/>
        <v>-5.6520719922902307E-3</v>
      </c>
      <c r="F715" s="6">
        <v>0.10339162744364699</v>
      </c>
      <c r="G715" s="7">
        <f t="shared" si="47"/>
        <v>1.8938821696177222E-3</v>
      </c>
      <c r="H715" s="9">
        <f t="shared" si="48"/>
        <v>-3.3328066845452642E-2</v>
      </c>
      <c r="I715" s="11">
        <f t="shared" si="49"/>
        <v>-7.5459541619079529E-3</v>
      </c>
    </row>
    <row r="716" spans="1:9" x14ac:dyDescent="0.3">
      <c r="A716" s="1">
        <v>45270</v>
      </c>
      <c r="B716" s="5">
        <v>2365</v>
      </c>
      <c r="C716" s="3">
        <f t="shared" si="45"/>
        <v>-4.0567951318458473E-2</v>
      </c>
      <c r="D716" s="5">
        <v>1162.58</v>
      </c>
      <c r="E716" s="6">
        <f t="shared" si="46"/>
        <v>1.5105476390053107E-2</v>
      </c>
      <c r="F716" s="6">
        <v>0.102057334750775</v>
      </c>
      <c r="G716" s="7">
        <f t="shared" si="47"/>
        <v>1.8705692067138013E-3</v>
      </c>
      <c r="H716" s="9">
        <f t="shared" si="48"/>
        <v>-4.2438520525172274E-2</v>
      </c>
      <c r="I716" s="11">
        <f t="shared" si="49"/>
        <v>1.3234907183339306E-2</v>
      </c>
    </row>
    <row r="717" spans="1:9" x14ac:dyDescent="0.3">
      <c r="A717" s="1">
        <v>45277</v>
      </c>
      <c r="B717" s="5">
        <v>2350</v>
      </c>
      <c r="C717" s="3">
        <f t="shared" si="45"/>
        <v>-6.3424947145876986E-3</v>
      </c>
      <c r="D717" s="5">
        <v>1170.3399999999999</v>
      </c>
      <c r="E717" s="6">
        <f t="shared" si="46"/>
        <v>6.6748094754769394E-3</v>
      </c>
      <c r="F717" s="6">
        <v>9.9341770076108393E-2</v>
      </c>
      <c r="G717" s="7">
        <f t="shared" si="47"/>
        <v>1.8230368274336772E-3</v>
      </c>
      <c r="H717" s="9">
        <f t="shared" si="48"/>
        <v>-8.1655315420213759E-3</v>
      </c>
      <c r="I717" s="11">
        <f t="shared" si="49"/>
        <v>4.8517726480432621E-3</v>
      </c>
    </row>
    <row r="718" spans="1:9" x14ac:dyDescent="0.3">
      <c r="A718" s="1">
        <v>45284</v>
      </c>
      <c r="B718" s="5">
        <v>2340</v>
      </c>
      <c r="C718" s="3">
        <f t="shared" si="45"/>
        <v>-4.2553191489361764E-3</v>
      </c>
      <c r="D718" s="5">
        <v>1195.2</v>
      </c>
      <c r="E718" s="6">
        <f t="shared" si="46"/>
        <v>2.1241690448929429E-2</v>
      </c>
      <c r="F718" s="6">
        <v>9.5993068168476109E-2</v>
      </c>
      <c r="G718" s="7">
        <f t="shared" si="47"/>
        <v>1.7642634046410866E-3</v>
      </c>
      <c r="H718" s="9">
        <f t="shared" si="48"/>
        <v>-6.0195825535772629E-3</v>
      </c>
      <c r="I718" s="11">
        <f t="shared" si="49"/>
        <v>1.9477427044288342E-2</v>
      </c>
    </row>
    <row r="719" spans="1:9" x14ac:dyDescent="0.3">
      <c r="A719" s="1">
        <v>45291</v>
      </c>
      <c r="B719" s="5">
        <v>2445</v>
      </c>
      <c r="C719" s="3">
        <f t="shared" si="45"/>
        <v>4.4871794871794934E-2</v>
      </c>
      <c r="D719" s="5">
        <v>1294.78</v>
      </c>
      <c r="E719" s="6">
        <f t="shared" si="46"/>
        <v>8.3316599732262242E-2</v>
      </c>
      <c r="F719" s="6">
        <v>9.5913968626744006E-2</v>
      </c>
      <c r="G719" s="7">
        <f t="shared" si="47"/>
        <v>1.7628729919534347E-3</v>
      </c>
      <c r="H719" s="9">
        <f t="shared" si="48"/>
        <v>4.31089218798415E-2</v>
      </c>
      <c r="I719" s="11">
        <f t="shared" si="49"/>
        <v>8.1553726740308807E-2</v>
      </c>
    </row>
    <row r="720" spans="1:9" x14ac:dyDescent="0.3">
      <c r="A720" s="1">
        <v>45298</v>
      </c>
      <c r="B720" s="5">
        <v>2375</v>
      </c>
      <c r="C720" s="3">
        <f t="shared" si="45"/>
        <v>-2.8629856850715729E-2</v>
      </c>
      <c r="D720" s="5">
        <v>1290.92</v>
      </c>
      <c r="E720" s="6">
        <f t="shared" si="46"/>
        <v>-2.9812014396267683E-3</v>
      </c>
      <c r="F720" s="6">
        <v>9.6738900087049606E-2</v>
      </c>
      <c r="G720" s="7">
        <f t="shared" si="47"/>
        <v>1.7773688100890528E-3</v>
      </c>
      <c r="H720" s="9">
        <f t="shared" si="48"/>
        <v>-3.0407225660804782E-2</v>
      </c>
      <c r="I720" s="11">
        <f t="shared" si="49"/>
        <v>-4.7585702497158211E-3</v>
      </c>
    </row>
    <row r="721" spans="1:9" x14ac:dyDescent="0.3">
      <c r="A721" s="1">
        <v>45305</v>
      </c>
      <c r="B721" s="5">
        <v>2280</v>
      </c>
      <c r="C721" s="3">
        <f t="shared" si="45"/>
        <v>-4.0000000000000036E-2</v>
      </c>
      <c r="D721" s="5">
        <v>1274.5</v>
      </c>
      <c r="E721" s="6">
        <f t="shared" si="46"/>
        <v>-1.2719610820190352E-2</v>
      </c>
      <c r="F721" s="6">
        <v>9.2248573419317095E-2</v>
      </c>
      <c r="G721" s="7">
        <f t="shared" si="47"/>
        <v>1.6983344382859311E-3</v>
      </c>
      <c r="H721" s="9">
        <f t="shared" si="48"/>
        <v>-4.1698334438285967E-2</v>
      </c>
      <c r="I721" s="11">
        <f t="shared" si="49"/>
        <v>-1.4417945258476283E-2</v>
      </c>
    </row>
    <row r="722" spans="1:9" x14ac:dyDescent="0.3">
      <c r="A722" s="1">
        <v>45312</v>
      </c>
      <c r="B722" s="5">
        <v>2400</v>
      </c>
      <c r="C722" s="3">
        <f t="shared" si="45"/>
        <v>5.2631578947368363E-2</v>
      </c>
      <c r="D722" s="5">
        <v>1282.43</v>
      </c>
      <c r="E722" s="6">
        <f t="shared" si="46"/>
        <v>6.22204786190661E-3</v>
      </c>
      <c r="F722" s="6">
        <v>9.3455474340467901E-2</v>
      </c>
      <c r="G722" s="7">
        <f t="shared" si="47"/>
        <v>1.7196084072705897E-3</v>
      </c>
      <c r="H722" s="9">
        <f t="shared" si="48"/>
        <v>5.0911970540097773E-2</v>
      </c>
      <c r="I722" s="11">
        <f t="shared" si="49"/>
        <v>4.5024394546360202E-3</v>
      </c>
    </row>
    <row r="723" spans="1:9" x14ac:dyDescent="0.3">
      <c r="A723" s="1">
        <v>45319</v>
      </c>
      <c r="B723" s="5">
        <v>2320</v>
      </c>
      <c r="C723" s="3">
        <f t="shared" si="45"/>
        <v>-3.3333333333333326E-2</v>
      </c>
      <c r="D723" s="5">
        <v>1277.77</v>
      </c>
      <c r="E723" s="6">
        <f t="shared" si="46"/>
        <v>-3.6337265971632116E-3</v>
      </c>
      <c r="F723" s="6">
        <v>9.2342332458557899E-2</v>
      </c>
      <c r="G723" s="7">
        <f t="shared" si="47"/>
        <v>1.6999879489090208E-3</v>
      </c>
      <c r="H723" s="9">
        <f t="shared" si="48"/>
        <v>-3.5033321282242347E-2</v>
      </c>
      <c r="I723" s="11">
        <f t="shared" si="49"/>
        <v>-5.3337145460722324E-3</v>
      </c>
    </row>
    <row r="724" spans="1:9" x14ac:dyDescent="0.3">
      <c r="A724" s="1">
        <v>45326</v>
      </c>
      <c r="B724" s="5">
        <v>2315</v>
      </c>
      <c r="C724" s="3">
        <f t="shared" si="45"/>
        <v>-2.1551724137931494E-3</v>
      </c>
      <c r="D724" s="5">
        <v>1248.23</v>
      </c>
      <c r="E724" s="6">
        <f t="shared" si="46"/>
        <v>-2.3118401590270565E-2</v>
      </c>
      <c r="F724" s="6">
        <v>9.2768130122176107E-2</v>
      </c>
      <c r="G724" s="7">
        <f t="shared" si="47"/>
        <v>1.7074954573843559E-3</v>
      </c>
      <c r="H724" s="9">
        <f t="shared" si="48"/>
        <v>-3.8626678711775053E-3</v>
      </c>
      <c r="I724" s="11">
        <f t="shared" si="49"/>
        <v>-2.4825897047654921E-2</v>
      </c>
    </row>
    <row r="725" spans="1:9" x14ac:dyDescent="0.3">
      <c r="A725" s="1">
        <v>45333</v>
      </c>
      <c r="B725" s="5">
        <v>2305</v>
      </c>
      <c r="C725" s="3">
        <f t="shared" si="45"/>
        <v>-4.3196544276458138E-3</v>
      </c>
      <c r="D725" s="5">
        <v>1256.97</v>
      </c>
      <c r="E725" s="6">
        <f t="shared" si="46"/>
        <v>7.0019147112310165E-3</v>
      </c>
      <c r="F725" s="6">
        <v>9.1834634820287295E-2</v>
      </c>
      <c r="G725" s="7">
        <f t="shared" si="47"/>
        <v>1.6910326578170043E-3</v>
      </c>
      <c r="H725" s="9">
        <f t="shared" si="48"/>
        <v>-6.010687085462818E-3</v>
      </c>
      <c r="I725" s="11">
        <f t="shared" si="49"/>
        <v>5.3108820534140122E-3</v>
      </c>
    </row>
    <row r="726" spans="1:9" x14ac:dyDescent="0.3">
      <c r="A726" s="1">
        <v>45340</v>
      </c>
      <c r="B726" s="5">
        <v>2330</v>
      </c>
      <c r="C726" s="3">
        <f t="shared" si="45"/>
        <v>1.0845986984815648E-2</v>
      </c>
      <c r="D726" s="5">
        <v>1290.31</v>
      </c>
      <c r="E726" s="6">
        <f t="shared" si="46"/>
        <v>2.6524101609425754E-2</v>
      </c>
      <c r="F726" s="6">
        <v>9.1727254404558797E-2</v>
      </c>
      <c r="G726" s="7">
        <f t="shared" si="47"/>
        <v>1.6891380487871199E-3</v>
      </c>
      <c r="H726" s="9">
        <f t="shared" si="48"/>
        <v>9.1568489360285277E-3</v>
      </c>
      <c r="I726" s="11">
        <f t="shared" si="49"/>
        <v>2.4834963560638634E-2</v>
      </c>
    </row>
    <row r="727" spans="1:9" x14ac:dyDescent="0.3">
      <c r="A727" s="1">
        <v>45347</v>
      </c>
      <c r="B727" s="5">
        <v>2240</v>
      </c>
      <c r="C727" s="3">
        <f t="shared" si="45"/>
        <v>-3.8626609442060089E-2</v>
      </c>
      <c r="D727" s="5">
        <v>1286.46</v>
      </c>
      <c r="E727" s="6">
        <f t="shared" si="46"/>
        <v>-2.983779091846106E-3</v>
      </c>
      <c r="F727" s="6">
        <v>9.335743963958279E-2</v>
      </c>
      <c r="G727" s="7">
        <f t="shared" si="47"/>
        <v>1.7178812151377176E-3</v>
      </c>
      <c r="H727" s="9">
        <f t="shared" si="48"/>
        <v>-4.0344490657197807E-2</v>
      </c>
      <c r="I727" s="11">
        <f t="shared" si="49"/>
        <v>-4.7016603069838236E-3</v>
      </c>
    </row>
    <row r="728" spans="1:9" x14ac:dyDescent="0.3">
      <c r="A728" s="1">
        <v>45354</v>
      </c>
      <c r="B728" s="5">
        <v>2055</v>
      </c>
      <c r="C728" s="3">
        <f t="shared" si="45"/>
        <v>-8.2589285714285698E-2</v>
      </c>
      <c r="D728" s="5">
        <v>1298.97</v>
      </c>
      <c r="E728" s="6">
        <f t="shared" si="46"/>
        <v>9.7243598712746238E-3</v>
      </c>
      <c r="F728" s="6">
        <v>9.3180533659014589E-2</v>
      </c>
      <c r="G728" s="7">
        <f t="shared" si="47"/>
        <v>1.7147640709289647E-3</v>
      </c>
      <c r="H728" s="9">
        <f t="shared" si="48"/>
        <v>-8.4304049785214663E-2</v>
      </c>
      <c r="I728" s="11">
        <f t="shared" si="49"/>
        <v>8.0095958003456591E-3</v>
      </c>
    </row>
    <row r="729" spans="1:9" x14ac:dyDescent="0.3">
      <c r="A729" s="1">
        <v>45361</v>
      </c>
      <c r="B729" s="5">
        <v>2210</v>
      </c>
      <c r="C729" s="3">
        <f t="shared" si="45"/>
        <v>7.5425790754257926E-2</v>
      </c>
      <c r="D729" s="5">
        <v>1285.8699999999999</v>
      </c>
      <c r="E729" s="6">
        <f t="shared" si="46"/>
        <v>-1.0084913431411158E-2</v>
      </c>
      <c r="F729" s="6">
        <v>9.3981465839831996E-2</v>
      </c>
      <c r="G729" s="7">
        <f t="shared" si="47"/>
        <v>1.7288728228299632E-3</v>
      </c>
      <c r="H729" s="9">
        <f t="shared" si="48"/>
        <v>7.3696917931427963E-2</v>
      </c>
      <c r="I729" s="11">
        <f t="shared" si="49"/>
        <v>-1.1813786254241121E-2</v>
      </c>
    </row>
    <row r="730" spans="1:9" x14ac:dyDescent="0.3">
      <c r="A730" s="1">
        <v>45368</v>
      </c>
      <c r="B730" s="5">
        <v>2115</v>
      </c>
      <c r="C730" s="3">
        <f t="shared" si="45"/>
        <v>-4.2986425339366474E-2</v>
      </c>
      <c r="D730" s="5">
        <v>1329.48</v>
      </c>
      <c r="E730" s="6">
        <f t="shared" si="46"/>
        <v>3.3914781432026642E-2</v>
      </c>
      <c r="F730" s="6">
        <v>9.6033185949866609E-2</v>
      </c>
      <c r="G730" s="7">
        <f t="shared" si="47"/>
        <v>1.7649685578648988E-3</v>
      </c>
      <c r="H730" s="9">
        <f t="shared" si="48"/>
        <v>-4.4751393897231373E-2</v>
      </c>
      <c r="I730" s="11">
        <f t="shared" si="49"/>
        <v>3.2149812874161743E-2</v>
      </c>
    </row>
    <row r="731" spans="1:9" x14ac:dyDescent="0.3">
      <c r="A731" s="1">
        <v>45375</v>
      </c>
      <c r="B731" s="5">
        <v>2075</v>
      </c>
      <c r="C731" s="3">
        <f t="shared" ref="C731:C794" si="50">B731/B730-1</f>
        <v>-1.891252955082745E-2</v>
      </c>
      <c r="D731" s="5">
        <v>1332.98</v>
      </c>
      <c r="E731" s="6">
        <f t="shared" ref="E731:E794" si="51">D731/D730-1</f>
        <v>2.6326082378071991E-3</v>
      </c>
      <c r="F731" s="6">
        <v>9.5629668249129496E-2</v>
      </c>
      <c r="G731" s="7">
        <f t="shared" si="47"/>
        <v>1.7578747437680953E-3</v>
      </c>
      <c r="H731" s="9">
        <f t="shared" si="48"/>
        <v>-2.0670404294595546E-2</v>
      </c>
      <c r="I731" s="11">
        <f t="shared" si="49"/>
        <v>8.7473349403910383E-4</v>
      </c>
    </row>
    <row r="732" spans="1:9" x14ac:dyDescent="0.3">
      <c r="A732" s="1">
        <v>45382</v>
      </c>
      <c r="B732" s="5">
        <v>2290</v>
      </c>
      <c r="C732" s="3">
        <f t="shared" si="50"/>
        <v>0.10361445783132539</v>
      </c>
      <c r="D732" s="5">
        <v>1388.27</v>
      </c>
      <c r="E732" s="6">
        <f t="shared" si="51"/>
        <v>4.1478491800327033E-2</v>
      </c>
      <c r="F732" s="6">
        <v>9.6265201036155212E-2</v>
      </c>
      <c r="G732" s="7">
        <f t="shared" si="47"/>
        <v>1.7690462077959435E-3</v>
      </c>
      <c r="H732" s="9">
        <f t="shared" si="48"/>
        <v>0.10184541162352945</v>
      </c>
      <c r="I732" s="11">
        <f t="shared" si="49"/>
        <v>3.970944559253109E-2</v>
      </c>
    </row>
    <row r="733" spans="1:9" x14ac:dyDescent="0.3">
      <c r="A733" s="1">
        <v>45389</v>
      </c>
      <c r="B733" s="5">
        <v>2240</v>
      </c>
      <c r="C733" s="3">
        <f t="shared" si="50"/>
        <v>-2.183406113537123E-2</v>
      </c>
      <c r="D733" s="5">
        <v>1390.74</v>
      </c>
      <c r="E733" s="6">
        <f t="shared" si="51"/>
        <v>1.7791928083155106E-3</v>
      </c>
      <c r="F733" s="6">
        <v>9.8342859932200308E-2</v>
      </c>
      <c r="G733" s="7">
        <f t="shared" si="47"/>
        <v>1.8055232465519211E-3</v>
      </c>
      <c r="H733" s="9">
        <f t="shared" si="48"/>
        <v>-2.3639584381923151E-2</v>
      </c>
      <c r="I733" s="11">
        <f t="shared" si="49"/>
        <v>-2.6330438236410458E-5</v>
      </c>
    </row>
    <row r="734" spans="1:9" x14ac:dyDescent="0.3">
      <c r="A734" s="1">
        <v>45396</v>
      </c>
      <c r="B734" s="5">
        <v>2230</v>
      </c>
      <c r="C734" s="3">
        <f t="shared" si="50"/>
        <v>-4.4642857142856984E-3</v>
      </c>
      <c r="D734" s="5">
        <v>1338.1</v>
      </c>
      <c r="E734" s="6">
        <f t="shared" si="51"/>
        <v>-3.7850353049455721E-2</v>
      </c>
      <c r="F734" s="6">
        <v>0.10397565137098499</v>
      </c>
      <c r="G734" s="7">
        <f t="shared" si="47"/>
        <v>1.9040776251915137E-3</v>
      </c>
      <c r="H734" s="9">
        <f t="shared" si="48"/>
        <v>-6.3683633394772121E-3</v>
      </c>
      <c r="I734" s="11">
        <f t="shared" si="49"/>
        <v>-3.9754430674647234E-2</v>
      </c>
    </row>
    <row r="735" spans="1:9" x14ac:dyDescent="0.3">
      <c r="A735" s="1">
        <v>45410</v>
      </c>
      <c r="B735" s="5">
        <v>2260</v>
      </c>
      <c r="C735" s="3">
        <f t="shared" si="50"/>
        <v>1.3452914798206317E-2</v>
      </c>
      <c r="D735" s="5">
        <v>1383.66</v>
      </c>
      <c r="E735" s="6">
        <f t="shared" si="51"/>
        <v>3.4048277408265548E-2</v>
      </c>
      <c r="F735" s="7">
        <v>0.1</v>
      </c>
      <c r="G735" s="7">
        <f t="shared" si="47"/>
        <v>1.8345688392329418E-3</v>
      </c>
      <c r="H735" s="9">
        <f t="shared" si="48"/>
        <v>1.1618345958973375E-2</v>
      </c>
      <c r="I735" s="11">
        <f t="shared" si="49"/>
        <v>3.2213708569032606E-2</v>
      </c>
    </row>
    <row r="736" spans="1:9" x14ac:dyDescent="0.3">
      <c r="A736" s="1">
        <v>45417</v>
      </c>
      <c r="B736" s="5">
        <v>2265</v>
      </c>
      <c r="C736" s="3">
        <f t="shared" si="50"/>
        <v>2.2123893805310324E-3</v>
      </c>
      <c r="D736" s="5">
        <v>1392.35</v>
      </c>
      <c r="E736" s="6">
        <f t="shared" si="51"/>
        <v>6.2804446178972295E-3</v>
      </c>
      <c r="F736" s="7">
        <v>0.1009</v>
      </c>
      <c r="G736" s="7">
        <f t="shared" si="47"/>
        <v>1.8503256494322162E-3</v>
      </c>
      <c r="H736" s="9">
        <f t="shared" si="48"/>
        <v>3.6206373109881618E-4</v>
      </c>
      <c r="I736" s="11">
        <f t="shared" si="49"/>
        <v>4.4301189684650133E-3</v>
      </c>
    </row>
    <row r="737" spans="1:9" x14ac:dyDescent="0.3">
      <c r="A737" s="1">
        <v>45424</v>
      </c>
      <c r="B737" s="5">
        <v>2320</v>
      </c>
      <c r="C737" s="3">
        <f t="shared" si="50"/>
        <v>2.4282560706401668E-2</v>
      </c>
      <c r="D737" s="5">
        <v>1426.45</v>
      </c>
      <c r="E737" s="6">
        <f t="shared" si="51"/>
        <v>2.4490968506482025E-2</v>
      </c>
      <c r="F737" s="7">
        <v>9.9000000000000005E-2</v>
      </c>
      <c r="G737" s="7">
        <f t="shared" si="47"/>
        <v>1.817046436100922E-3</v>
      </c>
      <c r="H737" s="9">
        <f t="shared" si="48"/>
        <v>2.2465514270300746E-2</v>
      </c>
      <c r="I737" s="11">
        <f t="shared" si="49"/>
        <v>2.2673922070381103E-2</v>
      </c>
    </row>
    <row r="738" spans="1:9" x14ac:dyDescent="0.3">
      <c r="A738" s="1">
        <v>45431</v>
      </c>
      <c r="B738" s="5">
        <v>2305</v>
      </c>
      <c r="C738" s="3">
        <f t="shared" si="50"/>
        <v>-6.4655172413793371E-3</v>
      </c>
      <c r="D738" s="5">
        <v>1405.65</v>
      </c>
      <c r="E738" s="6">
        <f t="shared" si="51"/>
        <v>-1.4581653755827317E-2</v>
      </c>
      <c r="F738" s="7">
        <v>0.10099999999999999</v>
      </c>
      <c r="G738" s="7">
        <f t="shared" si="47"/>
        <v>1.8520756262028204E-3</v>
      </c>
      <c r="H738" s="9">
        <f t="shared" si="48"/>
        <v>-8.3175928675821575E-3</v>
      </c>
      <c r="I738" s="11">
        <f t="shared" si="49"/>
        <v>-1.6433729382030138E-2</v>
      </c>
    </row>
    <row r="739" spans="1:9" x14ac:dyDescent="0.3">
      <c r="A739" s="1">
        <v>45438</v>
      </c>
      <c r="B739" s="5">
        <v>2360</v>
      </c>
      <c r="C739" s="3">
        <f t="shared" si="50"/>
        <v>2.386117136659438E-2</v>
      </c>
      <c r="D739" s="5">
        <v>1399.72</v>
      </c>
      <c r="E739" s="6">
        <f t="shared" si="51"/>
        <v>-4.2186888628037433E-3</v>
      </c>
      <c r="F739" s="7">
        <v>0.10199999999999999</v>
      </c>
      <c r="G739" s="7">
        <f t="shared" si="47"/>
        <v>1.8695668250927611E-3</v>
      </c>
      <c r="H739" s="9">
        <f t="shared" si="48"/>
        <v>2.1991604541501619E-2</v>
      </c>
      <c r="I739" s="11">
        <f t="shared" si="49"/>
        <v>-6.0882556878965044E-3</v>
      </c>
    </row>
    <row r="740" spans="1:9" x14ac:dyDescent="0.3">
      <c r="A740" s="1">
        <v>45445</v>
      </c>
      <c r="B740" s="5">
        <v>2360</v>
      </c>
      <c r="C740" s="3">
        <f t="shared" si="50"/>
        <v>0</v>
      </c>
      <c r="D740" s="5">
        <v>1414.56</v>
      </c>
      <c r="E740" s="6">
        <f t="shared" si="51"/>
        <v>1.0602120424084704E-2</v>
      </c>
      <c r="F740" s="7">
        <v>9.9489999999999995E-2</v>
      </c>
      <c r="G740" s="7">
        <f t="shared" si="47"/>
        <v>1.8256343666442909E-3</v>
      </c>
      <c r="H740" s="9">
        <f t="shared" si="48"/>
        <v>-1.8256343666442909E-3</v>
      </c>
      <c r="I740" s="11">
        <f t="shared" si="49"/>
        <v>8.7764860574404135E-3</v>
      </c>
    </row>
    <row r="741" spans="1:9" x14ac:dyDescent="0.3">
      <c r="A741" s="1">
        <v>45452</v>
      </c>
      <c r="B741" s="5">
        <v>2400</v>
      </c>
      <c r="C741" s="3">
        <f t="shared" si="50"/>
        <v>1.6949152542372836E-2</v>
      </c>
      <c r="D741" s="5">
        <v>1379.22</v>
      </c>
      <c r="E741" s="6">
        <f t="shared" si="51"/>
        <v>-2.498303359348486E-2</v>
      </c>
      <c r="F741" s="7">
        <v>0.1013</v>
      </c>
      <c r="G741" s="7">
        <f t="shared" si="47"/>
        <v>1.857324621342471E-3</v>
      </c>
      <c r="H741" s="9">
        <f t="shared" si="48"/>
        <v>1.5091827921030365E-2</v>
      </c>
      <c r="I741" s="11">
        <f t="shared" si="49"/>
        <v>-2.6840358214827331E-2</v>
      </c>
    </row>
    <row r="742" spans="1:9" x14ac:dyDescent="0.3">
      <c r="A742" s="1">
        <v>45459</v>
      </c>
      <c r="B742" s="5">
        <v>2295</v>
      </c>
      <c r="C742" s="3">
        <f t="shared" si="50"/>
        <v>-4.3749999999999956E-2</v>
      </c>
      <c r="D742" s="5">
        <v>1368.55</v>
      </c>
      <c r="E742" s="6">
        <f t="shared" si="51"/>
        <v>-7.7362567248154823E-3</v>
      </c>
      <c r="F742" s="7">
        <v>0.1018</v>
      </c>
      <c r="G742" s="7">
        <f t="shared" si="47"/>
        <v>1.8660698310157819E-3</v>
      </c>
      <c r="H742" s="9">
        <f t="shared" si="48"/>
        <v>-4.5616069831015738E-2</v>
      </c>
      <c r="I742" s="11">
        <f t="shared" si="49"/>
        <v>-9.6023265558312643E-3</v>
      </c>
    </row>
    <row r="743" spans="1:9" x14ac:dyDescent="0.3">
      <c r="A743" s="1">
        <v>45466</v>
      </c>
      <c r="B743" s="5">
        <v>2320</v>
      </c>
      <c r="C743" s="3">
        <f t="shared" si="50"/>
        <v>1.089324618736387E-2</v>
      </c>
      <c r="D743" s="5">
        <v>1382.29</v>
      </c>
      <c r="E743" s="6">
        <f t="shared" si="51"/>
        <v>1.0039823170508999E-2</v>
      </c>
      <c r="F743" s="7">
        <v>0.1007</v>
      </c>
      <c r="G743" s="7">
        <f t="shared" ref="G743:G806" si="52">(1+F743)^(1/52)-1</f>
        <v>1.8468252281365061E-3</v>
      </c>
      <c r="H743" s="9">
        <f t="shared" ref="H743:H770" si="53">C743-G743</f>
        <v>9.0464209592273637E-3</v>
      </c>
      <c r="I743" s="11">
        <f t="shared" ref="I743:I770" si="54">E743-G743</f>
        <v>8.192997942372493E-3</v>
      </c>
    </row>
    <row r="744" spans="1:9" x14ac:dyDescent="0.3">
      <c r="A744" s="1">
        <v>45473</v>
      </c>
      <c r="B744" s="5">
        <v>2295</v>
      </c>
      <c r="C744" s="3">
        <f t="shared" si="50"/>
        <v>-1.0775862068965525E-2</v>
      </c>
      <c r="D744" s="5">
        <v>1379.85</v>
      </c>
      <c r="E744" s="6">
        <f t="shared" si="51"/>
        <v>-1.7651867553118983E-3</v>
      </c>
      <c r="F744" s="7">
        <v>0.10041</v>
      </c>
      <c r="G744" s="7">
        <f t="shared" si="52"/>
        <v>1.8417485090673757E-3</v>
      </c>
      <c r="H744" s="9">
        <f t="shared" si="53"/>
        <v>-1.2617610578032901E-2</v>
      </c>
      <c r="I744" s="11">
        <f t="shared" si="54"/>
        <v>-3.606935264379274E-3</v>
      </c>
    </row>
    <row r="745" spans="1:9" x14ac:dyDescent="0.3">
      <c r="A745" s="1">
        <v>45480</v>
      </c>
      <c r="B745" s="5">
        <v>2190</v>
      </c>
      <c r="C745" s="3">
        <f t="shared" si="50"/>
        <v>-4.5751633986928053E-2</v>
      </c>
      <c r="D745" s="5">
        <v>1371.04</v>
      </c>
      <c r="E745" s="6">
        <f t="shared" si="51"/>
        <v>-6.384751965793356E-3</v>
      </c>
      <c r="F745" s="7">
        <v>9.8100000000000007E-2</v>
      </c>
      <c r="G745" s="7">
        <f t="shared" si="52"/>
        <v>1.8012628981922685E-3</v>
      </c>
      <c r="H745" s="9">
        <f t="shared" si="53"/>
        <v>-4.7552896885120322E-2</v>
      </c>
      <c r="I745" s="11">
        <f t="shared" si="54"/>
        <v>-8.1860148639856245E-3</v>
      </c>
    </row>
    <row r="746" spans="1:9" x14ac:dyDescent="0.3">
      <c r="A746" s="1">
        <v>45487</v>
      </c>
      <c r="B746" s="5">
        <v>2180</v>
      </c>
      <c r="C746" s="3">
        <f t="shared" si="50"/>
        <v>-4.5662100456621557E-3</v>
      </c>
      <c r="D746" s="5">
        <v>1365.91</v>
      </c>
      <c r="E746" s="6">
        <f t="shared" si="51"/>
        <v>-3.7416851441240961E-3</v>
      </c>
      <c r="F746" s="7">
        <v>9.8839999999999997E-2</v>
      </c>
      <c r="G746" s="7">
        <f t="shared" si="52"/>
        <v>1.8142414005395402E-3</v>
      </c>
      <c r="H746" s="9">
        <f t="shared" si="53"/>
        <v>-6.3804514462016959E-3</v>
      </c>
      <c r="I746" s="11">
        <f t="shared" si="54"/>
        <v>-5.5559265446636363E-3</v>
      </c>
    </row>
    <row r="747" spans="1:9" x14ac:dyDescent="0.3">
      <c r="A747" s="1">
        <v>45494</v>
      </c>
      <c r="B747" s="5">
        <v>2145</v>
      </c>
      <c r="C747" s="3">
        <f t="shared" si="50"/>
        <v>-1.6055045871559592E-2</v>
      </c>
      <c r="D747" s="5">
        <v>1345.62</v>
      </c>
      <c r="E747" s="6">
        <f t="shared" si="51"/>
        <v>-1.4854565820588639E-2</v>
      </c>
      <c r="F747" s="7">
        <v>9.8549999999999999E-2</v>
      </c>
      <c r="G747" s="7">
        <f t="shared" si="52"/>
        <v>1.8091562524189531E-3</v>
      </c>
      <c r="H747" s="9">
        <f t="shared" si="53"/>
        <v>-1.7864202123978545E-2</v>
      </c>
      <c r="I747" s="11">
        <f t="shared" si="54"/>
        <v>-1.6663722073007592E-2</v>
      </c>
    </row>
    <row r="748" spans="1:9" x14ac:dyDescent="0.3">
      <c r="A748" s="1">
        <v>45501</v>
      </c>
      <c r="B748" s="5">
        <v>2060</v>
      </c>
      <c r="C748" s="3">
        <f t="shared" si="50"/>
        <v>-3.9627039627039617E-2</v>
      </c>
      <c r="D748" s="5">
        <v>1320.49</v>
      </c>
      <c r="E748" s="6">
        <f t="shared" si="51"/>
        <v>-1.8675406132489081E-2</v>
      </c>
      <c r="F748" s="7">
        <v>9.3870000000000009E-2</v>
      </c>
      <c r="G748" s="7">
        <f t="shared" si="52"/>
        <v>1.7269099128782717E-3</v>
      </c>
      <c r="H748" s="9">
        <f t="shared" si="53"/>
        <v>-4.1353949539917889E-2</v>
      </c>
      <c r="I748" s="11">
        <f t="shared" si="54"/>
        <v>-2.0402316045367352E-2</v>
      </c>
    </row>
    <row r="749" spans="1:9" x14ac:dyDescent="0.3">
      <c r="A749" s="1">
        <v>45508</v>
      </c>
      <c r="B749" s="5">
        <v>2135</v>
      </c>
      <c r="C749" s="3">
        <f t="shared" si="50"/>
        <v>3.6407766990291357E-2</v>
      </c>
      <c r="D749" s="5">
        <v>1310.3599999999999</v>
      </c>
      <c r="E749" s="6">
        <f t="shared" si="51"/>
        <v>-7.6713947095397028E-3</v>
      </c>
      <c r="F749" s="7">
        <v>9.2300000000000007E-2</v>
      </c>
      <c r="G749" s="7">
        <f t="shared" si="52"/>
        <v>1.6992414016490098E-3</v>
      </c>
      <c r="H749" s="9">
        <f t="shared" si="53"/>
        <v>3.4708525588642347E-2</v>
      </c>
      <c r="I749" s="11">
        <f t="shared" si="54"/>
        <v>-9.3706361111887126E-3</v>
      </c>
    </row>
    <row r="750" spans="1:9" x14ac:dyDescent="0.3">
      <c r="A750" s="1">
        <v>45515</v>
      </c>
      <c r="B750" s="5">
        <v>2085</v>
      </c>
      <c r="C750" s="3">
        <f t="shared" si="50"/>
        <v>-2.3419203747072626E-2</v>
      </c>
      <c r="D750" s="5">
        <v>1355.81</v>
      </c>
      <c r="E750" s="6">
        <f t="shared" si="51"/>
        <v>3.4685124698556224E-2</v>
      </c>
      <c r="F750" s="7">
        <v>9.0530000000000013E-2</v>
      </c>
      <c r="G750" s="7">
        <f t="shared" si="52"/>
        <v>1.6680014270369359E-3</v>
      </c>
      <c r="H750" s="9">
        <f t="shared" si="53"/>
        <v>-2.5087205174109561E-2</v>
      </c>
      <c r="I750" s="11">
        <f t="shared" si="54"/>
        <v>3.3017123271519289E-2</v>
      </c>
    </row>
    <row r="751" spans="1:9" x14ac:dyDescent="0.3">
      <c r="A751" s="1">
        <v>45522</v>
      </c>
      <c r="B751" s="5">
        <v>2055</v>
      </c>
      <c r="C751" s="3">
        <f t="shared" si="50"/>
        <v>-1.4388489208633115E-2</v>
      </c>
      <c r="D751" s="5">
        <v>1333.22</v>
      </c>
      <c r="E751" s="6">
        <f t="shared" si="51"/>
        <v>-1.6661626629099868E-2</v>
      </c>
      <c r="F751" s="7">
        <v>9.1670000000000001E-2</v>
      </c>
      <c r="G751" s="7">
        <f t="shared" si="52"/>
        <v>1.6881277832456743E-3</v>
      </c>
      <c r="H751" s="9">
        <f t="shared" si="53"/>
        <v>-1.6076616991878789E-2</v>
      </c>
      <c r="I751" s="11">
        <f t="shared" si="54"/>
        <v>-1.8349754412345542E-2</v>
      </c>
    </row>
    <row r="752" spans="1:9" x14ac:dyDescent="0.3">
      <c r="A752" s="1">
        <v>45529</v>
      </c>
      <c r="B752" s="5">
        <v>2055</v>
      </c>
      <c r="C752" s="3">
        <f t="shared" si="50"/>
        <v>0</v>
      </c>
      <c r="D752" s="5">
        <v>1339.79</v>
      </c>
      <c r="E752" s="6">
        <f t="shared" si="51"/>
        <v>4.9279188731041756E-3</v>
      </c>
      <c r="F752" s="7">
        <v>9.2399999999999996E-2</v>
      </c>
      <c r="G752" s="7">
        <f t="shared" si="52"/>
        <v>1.7010048899008812E-3</v>
      </c>
      <c r="H752" s="9">
        <f t="shared" si="53"/>
        <v>-1.7010048899008812E-3</v>
      </c>
      <c r="I752" s="11">
        <f t="shared" si="54"/>
        <v>3.2269139832032945E-3</v>
      </c>
    </row>
    <row r="753" spans="1:9" x14ac:dyDescent="0.3">
      <c r="A753" s="1">
        <v>45536</v>
      </c>
      <c r="B753" s="5">
        <v>1930</v>
      </c>
      <c r="C753" s="3">
        <f t="shared" si="50"/>
        <v>-6.0827250608272543E-2</v>
      </c>
      <c r="D753" s="5">
        <v>1329.63</v>
      </c>
      <c r="E753" s="6">
        <f t="shared" si="51"/>
        <v>-7.5832779763991276E-3</v>
      </c>
      <c r="F753" s="7">
        <v>9.0950000000000003E-2</v>
      </c>
      <c r="G753" s="7">
        <f t="shared" si="52"/>
        <v>1.6754188000596137E-3</v>
      </c>
      <c r="H753" s="9">
        <f t="shared" si="53"/>
        <v>-6.2502669408332157E-2</v>
      </c>
      <c r="I753" s="11">
        <f t="shared" si="54"/>
        <v>-9.2586967764587413E-3</v>
      </c>
    </row>
    <row r="754" spans="1:9" x14ac:dyDescent="0.3">
      <c r="A754" s="1">
        <v>45543</v>
      </c>
      <c r="B754" s="5">
        <v>1910</v>
      </c>
      <c r="C754" s="3">
        <f t="shared" si="50"/>
        <v>-1.0362694300518172E-2</v>
      </c>
      <c r="D754" s="5">
        <v>1311.68</v>
      </c>
      <c r="E754" s="6">
        <f t="shared" si="51"/>
        <v>-1.3499996239555445E-2</v>
      </c>
      <c r="F754" s="7">
        <v>8.9009999999999992E-2</v>
      </c>
      <c r="G754" s="7">
        <f t="shared" si="52"/>
        <v>1.6411341630591103E-3</v>
      </c>
      <c r="H754" s="9">
        <f t="shared" si="53"/>
        <v>-1.2003828463577282E-2</v>
      </c>
      <c r="I754" s="11">
        <f t="shared" si="54"/>
        <v>-1.5141130402614555E-2</v>
      </c>
    </row>
    <row r="755" spans="1:9" x14ac:dyDescent="0.3">
      <c r="A755" s="1">
        <v>45550</v>
      </c>
      <c r="B755" s="5">
        <v>1890</v>
      </c>
      <c r="C755" s="3">
        <f t="shared" si="50"/>
        <v>-1.0471204188481686E-2</v>
      </c>
      <c r="D755" s="5">
        <v>1320.84</v>
      </c>
      <c r="E755" s="6">
        <f t="shared" si="51"/>
        <v>6.9834105879482689E-3</v>
      </c>
      <c r="F755" s="7">
        <v>8.9570000000000011E-2</v>
      </c>
      <c r="G755" s="7">
        <f t="shared" si="52"/>
        <v>1.6510369052871177E-3</v>
      </c>
      <c r="H755" s="9">
        <f t="shared" si="53"/>
        <v>-1.2122241093768804E-2</v>
      </c>
      <c r="I755" s="11">
        <f t="shared" si="54"/>
        <v>5.3323736826611512E-3</v>
      </c>
    </row>
    <row r="756" spans="1:9" x14ac:dyDescent="0.3">
      <c r="A756" s="1">
        <v>45557</v>
      </c>
      <c r="B756" s="5">
        <v>1885</v>
      </c>
      <c r="C756" s="3">
        <f t="shared" si="50"/>
        <v>-2.6455026455026731E-3</v>
      </c>
      <c r="D756" s="5">
        <v>1320.81</v>
      </c>
      <c r="E756" s="6">
        <f t="shared" si="51"/>
        <v>-2.2712819115033867E-5</v>
      </c>
      <c r="F756" s="7">
        <v>9.0450000000000003E-2</v>
      </c>
      <c r="G756" s="7">
        <f t="shared" si="52"/>
        <v>1.6665882764272943E-3</v>
      </c>
      <c r="H756" s="9">
        <f t="shared" si="53"/>
        <v>-4.3120909219299675E-3</v>
      </c>
      <c r="I756" s="11">
        <f t="shared" si="54"/>
        <v>-1.6893010955423282E-3</v>
      </c>
    </row>
    <row r="757" spans="1:9" x14ac:dyDescent="0.3">
      <c r="A757" s="1">
        <v>45564</v>
      </c>
      <c r="B757" s="5">
        <v>1890</v>
      </c>
      <c r="C757" s="3">
        <f t="shared" si="50"/>
        <v>2.6525198938991412E-3</v>
      </c>
      <c r="D757" s="5">
        <v>1303.8599999999999</v>
      </c>
      <c r="E757" s="6">
        <f t="shared" si="51"/>
        <v>-1.2833034274422506E-2</v>
      </c>
      <c r="F757" s="7">
        <v>9.2360000000000012E-2</v>
      </c>
      <c r="G757" s="7">
        <f t="shared" si="52"/>
        <v>1.7002995136004007E-3</v>
      </c>
      <c r="H757" s="9">
        <f t="shared" si="53"/>
        <v>9.5222038029874057E-4</v>
      </c>
      <c r="I757" s="11">
        <f t="shared" si="54"/>
        <v>-1.4533333788022906E-2</v>
      </c>
    </row>
    <row r="758" spans="1:9" x14ac:dyDescent="0.3">
      <c r="A758" s="1">
        <v>45571</v>
      </c>
      <c r="B758" s="5">
        <v>1845</v>
      </c>
      <c r="C758" s="3">
        <f t="shared" si="50"/>
        <v>-2.3809523809523836E-2</v>
      </c>
      <c r="D758" s="5">
        <v>1326.48</v>
      </c>
      <c r="E758" s="6">
        <f t="shared" si="51"/>
        <v>1.7348488334637313E-2</v>
      </c>
      <c r="F758" s="7">
        <v>9.3390000000000001E-2</v>
      </c>
      <c r="G758" s="7">
        <f t="shared" si="52"/>
        <v>1.7184548859836557E-3</v>
      </c>
      <c r="H758" s="9">
        <f t="shared" si="53"/>
        <v>-2.5527978695507492E-2</v>
      </c>
      <c r="I758" s="11">
        <f t="shared" si="54"/>
        <v>1.5630033448653657E-2</v>
      </c>
    </row>
    <row r="759" spans="1:9" x14ac:dyDescent="0.3">
      <c r="A759" s="1">
        <v>45578</v>
      </c>
      <c r="B759" s="5">
        <v>1760</v>
      </c>
      <c r="C759" s="3">
        <f t="shared" si="50"/>
        <v>-4.6070460704607075E-2</v>
      </c>
      <c r="D759" s="5">
        <v>1362.07</v>
      </c>
      <c r="E759" s="6">
        <f t="shared" si="51"/>
        <v>2.6830408298655017E-2</v>
      </c>
      <c r="F759" s="7">
        <v>9.5239999999999991E-2</v>
      </c>
      <c r="G759" s="7">
        <f t="shared" si="52"/>
        <v>1.7510219697001173E-3</v>
      </c>
      <c r="H759" s="9">
        <f t="shared" si="53"/>
        <v>-4.7821482674307192E-2</v>
      </c>
      <c r="I759" s="11">
        <f t="shared" si="54"/>
        <v>2.50793863289549E-2</v>
      </c>
    </row>
    <row r="760" spans="1:9" x14ac:dyDescent="0.3">
      <c r="A760" s="1">
        <v>45585</v>
      </c>
      <c r="B760" s="5">
        <v>1735</v>
      </c>
      <c r="C760" s="3">
        <f t="shared" si="50"/>
        <v>-1.4204545454545414E-2</v>
      </c>
      <c r="D760" s="5">
        <v>1334.49</v>
      </c>
      <c r="E760" s="6">
        <f t="shared" si="51"/>
        <v>-2.0248592216259076E-2</v>
      </c>
      <c r="F760" s="7">
        <v>9.9100000000000008E-2</v>
      </c>
      <c r="G760" s="7">
        <f t="shared" si="52"/>
        <v>1.8187993799432256E-3</v>
      </c>
      <c r="H760" s="9">
        <f t="shared" si="53"/>
        <v>-1.602334483448864E-2</v>
      </c>
      <c r="I760" s="11">
        <f t="shared" si="54"/>
        <v>-2.2067391596202302E-2</v>
      </c>
    </row>
    <row r="761" spans="1:9" x14ac:dyDescent="0.3">
      <c r="A761" s="1">
        <v>45592</v>
      </c>
      <c r="B761" s="5">
        <v>1680</v>
      </c>
      <c r="C761" s="3">
        <f t="shared" si="50"/>
        <v>-3.1700288184438041E-2</v>
      </c>
      <c r="D761" s="5">
        <v>1352.8</v>
      </c>
      <c r="E761" s="6">
        <f t="shared" si="51"/>
        <v>1.3720597381771338E-2</v>
      </c>
      <c r="F761" s="7">
        <v>9.9299999999999999E-2</v>
      </c>
      <c r="G761" s="7">
        <f t="shared" si="52"/>
        <v>1.8223047984113894E-3</v>
      </c>
      <c r="H761" s="9">
        <f t="shared" si="53"/>
        <v>-3.3522592982849431E-2</v>
      </c>
      <c r="I761" s="11">
        <f t="shared" si="54"/>
        <v>1.1898292583359948E-2</v>
      </c>
    </row>
    <row r="762" spans="1:9" x14ac:dyDescent="0.3">
      <c r="A762" s="1">
        <v>45599</v>
      </c>
      <c r="B762" s="5">
        <v>1590</v>
      </c>
      <c r="C762" s="3">
        <f t="shared" si="50"/>
        <v>-5.3571428571428603E-2</v>
      </c>
      <c r="D762" s="5">
        <v>1335.33</v>
      </c>
      <c r="E762" s="6">
        <f t="shared" si="51"/>
        <v>-1.2913956238911894E-2</v>
      </c>
      <c r="F762" s="7">
        <v>9.5399999999999985E-2</v>
      </c>
      <c r="G762" s="7">
        <f t="shared" si="52"/>
        <v>1.7538360470215064E-3</v>
      </c>
      <c r="H762" s="9">
        <f t="shared" si="53"/>
        <v>-5.532526461845011E-2</v>
      </c>
      <c r="I762" s="11">
        <f t="shared" si="54"/>
        <v>-1.4667792285933401E-2</v>
      </c>
    </row>
    <row r="763" spans="1:9" x14ac:dyDescent="0.3">
      <c r="A763" s="1">
        <v>45606</v>
      </c>
      <c r="B763" s="5">
        <v>1745</v>
      </c>
      <c r="C763" s="3">
        <f t="shared" si="50"/>
        <v>9.7484276729559838E-2</v>
      </c>
      <c r="D763" s="5">
        <v>1346.11</v>
      </c>
      <c r="E763" s="6">
        <f t="shared" si="51"/>
        <v>8.0729108160528806E-3</v>
      </c>
      <c r="F763" s="7">
        <v>9.6300000000000011E-2</v>
      </c>
      <c r="G763" s="7">
        <f t="shared" si="52"/>
        <v>1.7696577243084821E-3</v>
      </c>
      <c r="H763" s="9">
        <f t="shared" si="53"/>
        <v>9.5714619005251356E-2</v>
      </c>
      <c r="I763" s="11">
        <f t="shared" si="54"/>
        <v>6.3032530917443985E-3</v>
      </c>
    </row>
    <row r="764" spans="1:9" x14ac:dyDescent="0.3">
      <c r="A764" s="1">
        <v>45613</v>
      </c>
      <c r="B764" s="5">
        <v>1830</v>
      </c>
      <c r="C764" s="3">
        <f t="shared" si="50"/>
        <v>4.871060171919761E-2</v>
      </c>
      <c r="D764" s="5">
        <v>1391.95</v>
      </c>
      <c r="E764" s="6">
        <f t="shared" si="51"/>
        <v>3.4053680605596881E-2</v>
      </c>
      <c r="F764" s="7">
        <v>9.5329999999999998E-2</v>
      </c>
      <c r="G764" s="7">
        <f t="shared" si="52"/>
        <v>1.752604937801161E-3</v>
      </c>
      <c r="H764" s="9">
        <f t="shared" si="53"/>
        <v>4.6957996781396449E-2</v>
      </c>
      <c r="I764" s="11">
        <f t="shared" si="54"/>
        <v>3.230107566779572E-2</v>
      </c>
    </row>
    <row r="765" spans="1:9" x14ac:dyDescent="0.3">
      <c r="A765" s="1">
        <v>45620</v>
      </c>
      <c r="B765" s="5">
        <v>1800</v>
      </c>
      <c r="C765" s="3">
        <f t="shared" si="50"/>
        <v>-1.6393442622950838E-2</v>
      </c>
      <c r="D765" s="5">
        <v>1392.13</v>
      </c>
      <c r="E765" s="6">
        <f t="shared" si="51"/>
        <v>1.2931498976254119E-4</v>
      </c>
      <c r="F765" s="7">
        <v>9.605000000000001E-2</v>
      </c>
      <c r="G765" s="7">
        <f t="shared" si="52"/>
        <v>1.765264092145058E-3</v>
      </c>
      <c r="H765" s="9">
        <f t="shared" si="53"/>
        <v>-1.8158706715095896E-2</v>
      </c>
      <c r="I765" s="11">
        <f t="shared" si="54"/>
        <v>-1.6359491023825168E-3</v>
      </c>
    </row>
    <row r="766" spans="1:9" x14ac:dyDescent="0.3">
      <c r="A766" s="1">
        <v>45627</v>
      </c>
      <c r="B766" s="5">
        <v>1730</v>
      </c>
      <c r="C766" s="3">
        <f t="shared" si="50"/>
        <v>-3.8888888888888862E-2</v>
      </c>
      <c r="D766" s="5">
        <v>1377.04</v>
      </c>
      <c r="E766" s="6">
        <f t="shared" si="51"/>
        <v>-1.0839504931292487E-2</v>
      </c>
      <c r="F766" s="7">
        <v>9.5850000000000005E-2</v>
      </c>
      <c r="G766" s="7">
        <f t="shared" si="52"/>
        <v>1.7617484786833781E-3</v>
      </c>
      <c r="H766" s="9">
        <f t="shared" si="53"/>
        <v>-4.065063736757224E-2</v>
      </c>
      <c r="I766" s="11">
        <f t="shared" si="54"/>
        <v>-1.2601253409975866E-2</v>
      </c>
    </row>
    <row r="767" spans="1:9" x14ac:dyDescent="0.3">
      <c r="A767" s="1">
        <v>45634</v>
      </c>
      <c r="B767" s="5">
        <v>1780</v>
      </c>
      <c r="C767" s="3">
        <f t="shared" si="50"/>
        <v>2.8901734104046284E-2</v>
      </c>
      <c r="D767" s="5">
        <v>1380.07</v>
      </c>
      <c r="E767" s="6">
        <f t="shared" si="51"/>
        <v>2.2003718120024995E-3</v>
      </c>
      <c r="F767" s="7">
        <v>9.9809999999999996E-2</v>
      </c>
      <c r="G767" s="7">
        <f t="shared" si="52"/>
        <v>1.8312407851599488E-3</v>
      </c>
      <c r="H767" s="9">
        <f t="shared" si="53"/>
        <v>2.7070493318886335E-2</v>
      </c>
      <c r="I767" s="11">
        <f t="shared" si="54"/>
        <v>3.6913102684255072E-4</v>
      </c>
    </row>
    <row r="768" spans="1:9" x14ac:dyDescent="0.3">
      <c r="A768" s="1">
        <v>45641</v>
      </c>
      <c r="B768" s="5">
        <v>1650</v>
      </c>
      <c r="C768" s="3">
        <f t="shared" si="50"/>
        <v>-7.3033707865168496E-2</v>
      </c>
      <c r="D768" s="5">
        <v>1368.21</v>
      </c>
      <c r="E768" s="6">
        <f t="shared" si="51"/>
        <v>-8.5937669828340946E-3</v>
      </c>
      <c r="F768" s="7">
        <v>0.10007999999999999</v>
      </c>
      <c r="G768" s="7">
        <f t="shared" si="52"/>
        <v>1.8359699564927112E-3</v>
      </c>
      <c r="H768" s="9">
        <f t="shared" si="53"/>
        <v>-7.4869677821661207E-2</v>
      </c>
      <c r="I768" s="11">
        <f t="shared" si="54"/>
        <v>-1.0429736939326806E-2</v>
      </c>
    </row>
    <row r="769" spans="1:9" x14ac:dyDescent="0.3">
      <c r="A769" s="1">
        <v>45648</v>
      </c>
      <c r="B769" s="5">
        <v>1660</v>
      </c>
      <c r="C769" s="3">
        <f t="shared" si="50"/>
        <v>6.0606060606060996E-3</v>
      </c>
      <c r="D769" s="5">
        <v>1381.93</v>
      </c>
      <c r="E769" s="6">
        <f t="shared" si="51"/>
        <v>1.0027700426104236E-2</v>
      </c>
      <c r="F769" s="7">
        <v>0.10485</v>
      </c>
      <c r="G769" s="7">
        <f t="shared" si="52"/>
        <v>1.9193314699117447E-3</v>
      </c>
      <c r="H769" s="9">
        <f t="shared" si="53"/>
        <v>4.1412745906943549E-3</v>
      </c>
      <c r="I769" s="11">
        <f t="shared" si="54"/>
        <v>8.108368956192491E-3</v>
      </c>
    </row>
    <row r="770" spans="1:9" x14ac:dyDescent="0.3">
      <c r="A770" s="1">
        <v>45655</v>
      </c>
      <c r="B770" s="5">
        <v>1790</v>
      </c>
      <c r="C770" s="3">
        <f t="shared" si="50"/>
        <v>7.8313253012048278E-2</v>
      </c>
      <c r="D770" s="5">
        <v>1396.23</v>
      </c>
      <c r="E770" s="6">
        <f t="shared" si="51"/>
        <v>1.0347846851866516E-2</v>
      </c>
      <c r="F770" s="7">
        <v>0.10395</v>
      </c>
      <c r="G770" s="7">
        <f t="shared" si="52"/>
        <v>1.9036299337049645E-3</v>
      </c>
      <c r="H770" s="9">
        <f t="shared" si="53"/>
        <v>7.6409623078343314E-2</v>
      </c>
      <c r="I770" s="11">
        <f t="shared" si="54"/>
        <v>8.4442169181615512E-3</v>
      </c>
    </row>
    <row r="771" spans="1:9" x14ac:dyDescent="0.3">
      <c r="A771" s="1">
        <v>45662</v>
      </c>
      <c r="B771" s="12">
        <v>1845</v>
      </c>
      <c r="C771" s="3">
        <f t="shared" si="50"/>
        <v>3.0726256983240274E-2</v>
      </c>
      <c r="D771" s="5">
        <v>1404.94</v>
      </c>
      <c r="E771" s="6">
        <f t="shared" si="51"/>
        <v>6.2382272261733984E-3</v>
      </c>
      <c r="F771" s="7">
        <v>0.10880000000000001</v>
      </c>
      <c r="G771" s="7">
        <f t="shared" si="52"/>
        <v>1.9880957518010334E-3</v>
      </c>
      <c r="H771" s="9">
        <f t="shared" ref="H771:H822" si="55">C771-G771</f>
        <v>2.8738161231439241E-2</v>
      </c>
      <c r="I771" s="11">
        <f t="shared" ref="I771:I822" si="56">E771-G771</f>
        <v>4.250131474372365E-3</v>
      </c>
    </row>
    <row r="772" spans="1:9" x14ac:dyDescent="0.3">
      <c r="A772" s="1">
        <v>45669</v>
      </c>
      <c r="B772" s="12">
        <v>1835</v>
      </c>
      <c r="C772" s="3">
        <f t="shared" si="50"/>
        <v>-5.4200542005420349E-3</v>
      </c>
      <c r="D772" s="5">
        <v>1391.22</v>
      </c>
      <c r="E772" s="6">
        <f t="shared" si="51"/>
        <v>-9.765541588964699E-3</v>
      </c>
      <c r="F772" s="7">
        <v>0.10706054821844199</v>
      </c>
      <c r="G772" s="7">
        <f t="shared" si="52"/>
        <v>1.9578438476253179E-3</v>
      </c>
      <c r="H772" s="9">
        <f t="shared" si="55"/>
        <v>-7.3778980481673528E-3</v>
      </c>
      <c r="I772" s="11">
        <f t="shared" si="56"/>
        <v>-1.1723385436590017E-2</v>
      </c>
    </row>
    <row r="773" spans="1:9" x14ac:dyDescent="0.3">
      <c r="A773" s="1">
        <v>45676</v>
      </c>
      <c r="B773" s="12">
        <v>1760</v>
      </c>
      <c r="C773" s="3">
        <f t="shared" si="50"/>
        <v>-4.0871934604904681E-2</v>
      </c>
      <c r="D773" s="5">
        <v>1415.45</v>
      </c>
      <c r="E773" s="6">
        <f t="shared" si="51"/>
        <v>1.7416368367332291E-2</v>
      </c>
      <c r="F773" s="7">
        <v>0.10883623017703201</v>
      </c>
      <c r="G773" s="7">
        <f t="shared" si="52"/>
        <v>1.988725358729182E-3</v>
      </c>
      <c r="H773" s="9">
        <f t="shared" si="55"/>
        <v>-4.2860659963633863E-2</v>
      </c>
      <c r="I773" s="11">
        <f t="shared" si="56"/>
        <v>1.5427643008603109E-2</v>
      </c>
    </row>
    <row r="774" spans="1:9" x14ac:dyDescent="0.3">
      <c r="A774" s="1">
        <v>45683</v>
      </c>
      <c r="B774" s="12">
        <v>1960</v>
      </c>
      <c r="C774" s="3">
        <f t="shared" si="50"/>
        <v>0.11363636363636354</v>
      </c>
      <c r="D774" s="5">
        <v>1521.74</v>
      </c>
      <c r="E774" s="6">
        <f t="shared" si="51"/>
        <v>7.5092726694690803E-2</v>
      </c>
      <c r="F774" s="7">
        <v>0.10203187911707999</v>
      </c>
      <c r="G774" s="7">
        <f t="shared" si="52"/>
        <v>1.8701241729941476E-3</v>
      </c>
      <c r="H774" s="9">
        <f t="shared" si="55"/>
        <v>0.11176623946336939</v>
      </c>
      <c r="I774" s="11">
        <f t="shared" si="56"/>
        <v>7.3222602521696656E-2</v>
      </c>
    </row>
    <row r="775" spans="1:9" x14ac:dyDescent="0.3">
      <c r="A775" s="1">
        <v>45690</v>
      </c>
      <c r="B775" s="12">
        <v>2000</v>
      </c>
      <c r="C775" s="3">
        <f t="shared" si="50"/>
        <v>2.0408163265306145E-2</v>
      </c>
      <c r="D775" s="5">
        <v>1515.99</v>
      </c>
      <c r="E775" s="6">
        <f t="shared" si="51"/>
        <v>-3.7785692693890205E-3</v>
      </c>
      <c r="F775" s="7">
        <v>0.105943307794854</v>
      </c>
      <c r="G775" s="7">
        <f t="shared" si="52"/>
        <v>1.9383886166066677E-3</v>
      </c>
      <c r="H775" s="9">
        <f t="shared" si="55"/>
        <v>1.8469774648699477E-2</v>
      </c>
      <c r="I775" s="11">
        <f t="shared" si="56"/>
        <v>-5.7169578859956882E-3</v>
      </c>
    </row>
    <row r="776" spans="1:9" x14ac:dyDescent="0.3">
      <c r="A776" s="1">
        <v>45697</v>
      </c>
      <c r="B776" s="12">
        <v>2125</v>
      </c>
      <c r="C776" s="3">
        <f t="shared" si="50"/>
        <v>6.25E-2</v>
      </c>
      <c r="D776" s="5">
        <v>1552.12</v>
      </c>
      <c r="E776" s="6">
        <f t="shared" si="51"/>
        <v>2.383261103305423E-2</v>
      </c>
      <c r="F776" s="7">
        <v>0.10547548373028899</v>
      </c>
      <c r="G776" s="7">
        <f t="shared" si="52"/>
        <v>1.9302363669619904E-3</v>
      </c>
      <c r="H776" s="9">
        <f t="shared" si="55"/>
        <v>6.056976363303801E-2</v>
      </c>
      <c r="I776" s="11">
        <f t="shared" si="56"/>
        <v>2.1902374666092239E-2</v>
      </c>
    </row>
    <row r="777" spans="1:9" x14ac:dyDescent="0.3">
      <c r="A777" s="1">
        <v>45704</v>
      </c>
      <c r="B777" s="12">
        <v>2145</v>
      </c>
      <c r="C777" s="3">
        <f t="shared" si="50"/>
        <v>9.4117647058824527E-3</v>
      </c>
      <c r="D777" s="5">
        <v>1630.62</v>
      </c>
      <c r="E777" s="6">
        <f t="shared" si="51"/>
        <v>5.0575986392804584E-2</v>
      </c>
      <c r="F777" s="7">
        <v>0.105979058479567</v>
      </c>
      <c r="G777" s="7">
        <f t="shared" si="52"/>
        <v>1.9390114649127099E-3</v>
      </c>
      <c r="H777" s="9">
        <f t="shared" si="55"/>
        <v>7.4727532409697428E-3</v>
      </c>
      <c r="I777" s="11">
        <f t="shared" si="56"/>
        <v>4.8636974927891874E-2</v>
      </c>
    </row>
    <row r="778" spans="1:9" x14ac:dyDescent="0.3">
      <c r="A778" s="1">
        <v>45711</v>
      </c>
      <c r="B778" s="12">
        <v>2060</v>
      </c>
      <c r="C778" s="3">
        <f t="shared" si="50"/>
        <v>-3.9627039627039617E-2</v>
      </c>
      <c r="D778" s="5">
        <v>1607.57</v>
      </c>
      <c r="E778" s="6">
        <f t="shared" si="51"/>
        <v>-1.4135727514687613E-2</v>
      </c>
      <c r="F778" s="7">
        <v>0.10812613269324199</v>
      </c>
      <c r="G778" s="7">
        <f t="shared" si="52"/>
        <v>1.9763816268409951E-3</v>
      </c>
      <c r="H778" s="9">
        <f t="shared" si="55"/>
        <v>-4.1603421253880613E-2</v>
      </c>
      <c r="I778" s="11">
        <f t="shared" si="56"/>
        <v>-1.6112109141528608E-2</v>
      </c>
    </row>
    <row r="779" spans="1:9" x14ac:dyDescent="0.3">
      <c r="A779" s="1">
        <v>45718</v>
      </c>
      <c r="B779" s="12">
        <v>2060</v>
      </c>
      <c r="C779" s="3">
        <f t="shared" si="50"/>
        <v>0</v>
      </c>
      <c r="D779" s="5">
        <v>1610.5</v>
      </c>
      <c r="E779" s="6">
        <f t="shared" si="51"/>
        <v>1.8226266974377126E-3</v>
      </c>
      <c r="F779" s="7">
        <v>0.10727326550132901</v>
      </c>
      <c r="G779" s="7">
        <f t="shared" si="52"/>
        <v>1.9615458491237803E-3</v>
      </c>
      <c r="H779" s="9">
        <f t="shared" si="55"/>
        <v>-1.9615458491237803E-3</v>
      </c>
      <c r="I779" s="11">
        <f t="shared" si="56"/>
        <v>-1.3891915168606772E-4</v>
      </c>
    </row>
    <row r="780" spans="1:9" x14ac:dyDescent="0.3">
      <c r="A780" s="1">
        <v>45725</v>
      </c>
      <c r="B780" s="12">
        <v>2080</v>
      </c>
      <c r="C780" s="3">
        <f t="shared" si="50"/>
        <v>9.7087378640776656E-3</v>
      </c>
      <c r="D780" s="5">
        <v>1620.36</v>
      </c>
      <c r="E780" s="6">
        <f t="shared" si="51"/>
        <v>6.122322260167623E-3</v>
      </c>
      <c r="F780" s="7">
        <v>0.10690709406856501</v>
      </c>
      <c r="G780" s="7">
        <f t="shared" si="52"/>
        <v>1.9551727922502149E-3</v>
      </c>
      <c r="H780" s="9">
        <f t="shared" si="55"/>
        <v>7.7535650718274507E-3</v>
      </c>
      <c r="I780" s="11">
        <f t="shared" si="56"/>
        <v>4.1671494679174081E-3</v>
      </c>
    </row>
    <row r="781" spans="1:9" x14ac:dyDescent="0.3">
      <c r="A781" s="1">
        <v>45732</v>
      </c>
      <c r="B781" s="12">
        <v>2130</v>
      </c>
      <c r="C781" s="3">
        <f t="shared" si="50"/>
        <v>2.4038461538461453E-2</v>
      </c>
      <c r="D781" s="5">
        <v>1608.85</v>
      </c>
      <c r="E781" s="6">
        <f t="shared" si="51"/>
        <v>-7.1033597472166532E-3</v>
      </c>
      <c r="F781" s="7">
        <v>0.10863144052734701</v>
      </c>
      <c r="G781" s="7">
        <f t="shared" si="52"/>
        <v>1.9851662650194335E-3</v>
      </c>
      <c r="H781" s="9">
        <f t="shared" si="55"/>
        <v>2.205329527344202E-2</v>
      </c>
      <c r="I781" s="11">
        <f t="shared" si="56"/>
        <v>-9.0885260122360867E-3</v>
      </c>
    </row>
    <row r="782" spans="1:9" x14ac:dyDescent="0.3">
      <c r="A782" s="1">
        <v>45739</v>
      </c>
      <c r="B782" s="12">
        <v>2140</v>
      </c>
      <c r="C782" s="3">
        <f t="shared" si="50"/>
        <v>4.6948356807512415E-3</v>
      </c>
      <c r="D782" s="5">
        <v>1603.63</v>
      </c>
      <c r="E782" s="6">
        <f t="shared" si="51"/>
        <v>-3.2445535631039357E-3</v>
      </c>
      <c r="F782" s="7">
        <v>0.111162231911965</v>
      </c>
      <c r="G782" s="7">
        <f t="shared" si="52"/>
        <v>2.0291043771201167E-3</v>
      </c>
      <c r="H782" s="9">
        <f t="shared" si="55"/>
        <v>2.6657313036311248E-3</v>
      </c>
      <c r="I782" s="11">
        <f t="shared" si="56"/>
        <v>-5.2736579402240524E-3</v>
      </c>
    </row>
    <row r="783" spans="1:9" x14ac:dyDescent="0.3">
      <c r="A783" s="1">
        <v>45746</v>
      </c>
      <c r="B783" s="12">
        <v>1930</v>
      </c>
      <c r="C783" s="3">
        <f t="shared" si="50"/>
        <v>-9.8130841121495282E-2</v>
      </c>
      <c r="D783" s="5">
        <v>1620.49</v>
      </c>
      <c r="E783" s="6">
        <f t="shared" si="51"/>
        <v>1.0513647162998963E-2</v>
      </c>
      <c r="F783" s="7">
        <v>0.11610310466805601</v>
      </c>
      <c r="G783" s="7">
        <f t="shared" si="52"/>
        <v>2.1146027676339774E-3</v>
      </c>
      <c r="H783" s="9">
        <f t="shared" si="55"/>
        <v>-0.10024544388912926</v>
      </c>
      <c r="I783" s="11">
        <f t="shared" si="56"/>
        <v>8.3990443953649851E-3</v>
      </c>
    </row>
    <row r="784" spans="1:9" x14ac:dyDescent="0.3">
      <c r="A784" s="1">
        <v>45753</v>
      </c>
      <c r="B784" s="12">
        <v>1875</v>
      </c>
      <c r="C784" s="3">
        <f t="shared" si="50"/>
        <v>-2.8497409326424861E-2</v>
      </c>
      <c r="D784" s="5">
        <v>1561.52</v>
      </c>
      <c r="E784" s="6">
        <f t="shared" si="51"/>
        <v>-3.639022764719313E-2</v>
      </c>
      <c r="F784" s="7">
        <v>0.11164467916939801</v>
      </c>
      <c r="G784" s="7">
        <f t="shared" si="52"/>
        <v>2.0374692031122077E-3</v>
      </c>
      <c r="H784" s="9">
        <f t="shared" si="55"/>
        <v>-3.0534878529537068E-2</v>
      </c>
      <c r="I784" s="11">
        <f t="shared" si="56"/>
        <v>-3.8427696850305337E-2</v>
      </c>
    </row>
    <row r="785" spans="1:9" x14ac:dyDescent="0.3">
      <c r="A785" s="1">
        <v>45760</v>
      </c>
      <c r="B785" s="12">
        <v>1905</v>
      </c>
      <c r="C785" s="3">
        <f t="shared" si="50"/>
        <v>1.6000000000000014E-2</v>
      </c>
      <c r="D785" s="5">
        <v>1626.73</v>
      </c>
      <c r="E785" s="6">
        <f t="shared" si="51"/>
        <v>4.1760592243455186E-2</v>
      </c>
      <c r="F785" s="7">
        <v>0.11506586634542</v>
      </c>
      <c r="G785" s="7">
        <f t="shared" si="52"/>
        <v>2.0966849016481603E-3</v>
      </c>
      <c r="H785" s="9">
        <f t="shared" si="55"/>
        <v>1.3903315098351854E-2</v>
      </c>
      <c r="I785" s="11">
        <f t="shared" si="56"/>
        <v>3.9663907341807025E-2</v>
      </c>
    </row>
    <row r="786" spans="1:9" x14ac:dyDescent="0.3">
      <c r="A786" s="1">
        <v>45767</v>
      </c>
      <c r="B786" s="12">
        <v>1830</v>
      </c>
      <c r="C786" s="3">
        <f t="shared" si="50"/>
        <v>-3.9370078740157521E-2</v>
      </c>
      <c r="D786" s="5">
        <v>1641.69</v>
      </c>
      <c r="E786" s="6">
        <f t="shared" si="51"/>
        <v>9.1963632563485387E-3</v>
      </c>
      <c r="F786" s="7">
        <v>0.11201899839101101</v>
      </c>
      <c r="G786" s="7">
        <f t="shared" si="52"/>
        <v>2.0439568178303169E-3</v>
      </c>
      <c r="H786" s="9">
        <f t="shared" si="55"/>
        <v>-4.1414035557987838E-2</v>
      </c>
      <c r="I786" s="11">
        <f t="shared" si="56"/>
        <v>7.1524064385182218E-3</v>
      </c>
    </row>
    <row r="787" spans="1:9" x14ac:dyDescent="0.3">
      <c r="A787" s="1">
        <v>45774</v>
      </c>
      <c r="B787" s="12">
        <v>1735</v>
      </c>
      <c r="C787" s="3">
        <f t="shared" si="50"/>
        <v>-5.1912568306010876E-2</v>
      </c>
      <c r="D787" s="5">
        <v>1641.99</v>
      </c>
      <c r="E787" s="6">
        <f t="shared" si="51"/>
        <v>1.8273851945238562E-4</v>
      </c>
      <c r="F787" s="7">
        <v>0.11108118487421199</v>
      </c>
      <c r="G787" s="7">
        <f t="shared" si="52"/>
        <v>2.0276988080190073E-3</v>
      </c>
      <c r="H787" s="9">
        <f t="shared" si="55"/>
        <v>-5.3940267114029883E-2</v>
      </c>
      <c r="I787" s="11">
        <f t="shared" si="56"/>
        <v>-1.8449602885666216E-3</v>
      </c>
    </row>
    <row r="788" spans="1:9" x14ac:dyDescent="0.3">
      <c r="A788" s="1">
        <v>45781</v>
      </c>
      <c r="B788" s="12">
        <v>1720</v>
      </c>
      <c r="C788" s="3">
        <f t="shared" si="50"/>
        <v>-8.6455331412104153E-3</v>
      </c>
      <c r="D788" s="5">
        <v>1645.4</v>
      </c>
      <c r="E788" s="6">
        <f t="shared" si="51"/>
        <v>2.0767483358608008E-3</v>
      </c>
      <c r="F788" s="7">
        <v>0.111157030315522</v>
      </c>
      <c r="G788" s="7">
        <f t="shared" si="52"/>
        <v>2.0290141707570708E-3</v>
      </c>
      <c r="H788" s="9">
        <f t="shared" si="55"/>
        <v>-1.0674547311967486E-2</v>
      </c>
      <c r="I788" s="11">
        <f t="shared" si="56"/>
        <v>4.7734165103729964E-5</v>
      </c>
    </row>
    <row r="789" spans="1:9" x14ac:dyDescent="0.3">
      <c r="A789" s="1">
        <v>45788</v>
      </c>
      <c r="B789" s="12">
        <v>1810</v>
      </c>
      <c r="C789" s="3">
        <f t="shared" si="50"/>
        <v>5.232558139534893E-2</v>
      </c>
      <c r="D789" s="5">
        <v>1646.92</v>
      </c>
      <c r="E789" s="6">
        <f t="shared" si="51"/>
        <v>9.2378752886834725E-4</v>
      </c>
      <c r="F789" s="7">
        <v>0.11160783659144301</v>
      </c>
      <c r="G789" s="7">
        <f t="shared" si="52"/>
        <v>2.0368305402047593E-3</v>
      </c>
      <c r="H789" s="9">
        <f t="shared" si="55"/>
        <v>5.0288750855144171E-2</v>
      </c>
      <c r="I789" s="11">
        <f t="shared" si="56"/>
        <v>-1.113043011336412E-3</v>
      </c>
    </row>
    <row r="790" spans="1:9" x14ac:dyDescent="0.3">
      <c r="A790" s="1">
        <v>45795</v>
      </c>
      <c r="B790" s="12">
        <v>1780</v>
      </c>
      <c r="C790" s="3">
        <f t="shared" si="50"/>
        <v>-1.6574585635359074E-2</v>
      </c>
      <c r="D790" s="5">
        <v>1654.73</v>
      </c>
      <c r="E790" s="6">
        <f t="shared" si="51"/>
        <v>4.7421854127704943E-3</v>
      </c>
      <c r="F790" s="7">
        <v>0.113745861190983</v>
      </c>
      <c r="G790" s="7">
        <f t="shared" si="52"/>
        <v>2.0738587013042764E-3</v>
      </c>
      <c r="H790" s="9">
        <f t="shared" si="55"/>
        <v>-1.864844433666335E-2</v>
      </c>
      <c r="I790" s="11">
        <f t="shared" si="56"/>
        <v>2.6683267114662179E-3</v>
      </c>
    </row>
    <row r="791" spans="1:9" x14ac:dyDescent="0.3">
      <c r="A791" s="1">
        <v>45802</v>
      </c>
      <c r="B791" s="12">
        <v>1740</v>
      </c>
      <c r="C791" s="3">
        <f t="shared" si="50"/>
        <v>-2.2471910112359605E-2</v>
      </c>
      <c r="D791" s="5">
        <v>1608.9</v>
      </c>
      <c r="E791" s="6">
        <f t="shared" si="51"/>
        <v>-2.7696361339916487E-2</v>
      </c>
      <c r="F791" s="7">
        <v>0.11600553366543</v>
      </c>
      <c r="G791" s="7">
        <f t="shared" si="52"/>
        <v>2.1129179646715013E-3</v>
      </c>
      <c r="H791" s="9">
        <f t="shared" si="55"/>
        <v>-2.4584828077031107E-2</v>
      </c>
      <c r="I791" s="11">
        <f t="shared" si="56"/>
        <v>-2.9809279304587988E-2</v>
      </c>
    </row>
    <row r="792" spans="1:9" x14ac:dyDescent="0.3">
      <c r="A792" s="1">
        <v>45809</v>
      </c>
      <c r="B792" s="12">
        <v>1845</v>
      </c>
      <c r="C792" s="3">
        <f t="shared" si="50"/>
        <v>6.0344827586206851E-2</v>
      </c>
      <c r="D792" s="5">
        <v>1651.21</v>
      </c>
      <c r="E792" s="6">
        <f t="shared" si="51"/>
        <v>2.6297470321337446E-2</v>
      </c>
      <c r="F792" s="7">
        <v>0.11436984583163901</v>
      </c>
      <c r="G792" s="7">
        <f t="shared" si="52"/>
        <v>2.0846522658897193E-3</v>
      </c>
      <c r="H792" s="9">
        <f t="shared" si="55"/>
        <v>5.8260175320317131E-2</v>
      </c>
      <c r="I792" s="11">
        <f t="shared" si="56"/>
        <v>2.4212818055447727E-2</v>
      </c>
    </row>
    <row r="793" spans="1:9" x14ac:dyDescent="0.3">
      <c r="A793" s="1">
        <v>45816</v>
      </c>
      <c r="B793" s="12">
        <v>1985</v>
      </c>
      <c r="C793" s="3">
        <f t="shared" si="50"/>
        <v>7.5880758807588045E-2</v>
      </c>
      <c r="D793" s="5">
        <v>1648.92</v>
      </c>
      <c r="E793" s="6">
        <f t="shared" si="51"/>
        <v>-1.3868617559243956E-3</v>
      </c>
      <c r="F793" s="7">
        <v>0.118448950924083</v>
      </c>
      <c r="G793" s="7">
        <f t="shared" si="52"/>
        <v>2.1550661366163126E-3</v>
      </c>
      <c r="H793" s="9">
        <f t="shared" si="55"/>
        <v>7.3725692670971732E-2</v>
      </c>
      <c r="I793" s="11">
        <f t="shared" si="56"/>
        <v>-3.5419278925407083E-3</v>
      </c>
    </row>
    <row r="794" spans="1:9" x14ac:dyDescent="0.3">
      <c r="A794" s="1">
        <v>45823</v>
      </c>
      <c r="B794" s="12">
        <v>2000</v>
      </c>
      <c r="C794" s="3">
        <f t="shared" si="50"/>
        <v>7.5566750629723067E-3</v>
      </c>
      <c r="D794" s="5">
        <v>1647.78</v>
      </c>
      <c r="E794" s="6">
        <f t="shared" si="51"/>
        <v>-6.9136161851401923E-4</v>
      </c>
      <c r="F794" s="7">
        <v>0.12097329919669701</v>
      </c>
      <c r="G794" s="7">
        <f t="shared" si="52"/>
        <v>2.198515604302731E-3</v>
      </c>
      <c r="H794" s="9">
        <f t="shared" si="55"/>
        <v>5.3581594586695758E-3</v>
      </c>
      <c r="I794" s="11">
        <f t="shared" si="56"/>
        <v>-2.8898772228167502E-3</v>
      </c>
    </row>
    <row r="795" spans="1:9" x14ac:dyDescent="0.3">
      <c r="A795" s="1">
        <v>45830</v>
      </c>
      <c r="B795" s="12">
        <v>1820</v>
      </c>
      <c r="C795" s="3">
        <f t="shared" ref="C795:C822" si="57">B795/B794-1</f>
        <v>-8.9999999999999969E-2</v>
      </c>
      <c r="D795" s="5">
        <v>1668.33</v>
      </c>
      <c r="E795" s="6">
        <f t="shared" ref="E795:E822" si="58">D795/D794-1</f>
        <v>1.2471325055529281E-2</v>
      </c>
      <c r="F795" s="7">
        <v>0.118975859011067</v>
      </c>
      <c r="G795" s="7">
        <f t="shared" si="52"/>
        <v>2.1641432961392315E-3</v>
      </c>
      <c r="H795" s="9">
        <f t="shared" si="55"/>
        <v>-9.21641432961392E-2</v>
      </c>
      <c r="I795" s="11">
        <f t="shared" si="56"/>
        <v>1.0307181759390049E-2</v>
      </c>
    </row>
    <row r="796" spans="1:9" x14ac:dyDescent="0.3">
      <c r="A796" s="1">
        <v>45837</v>
      </c>
      <c r="B796" s="12">
        <v>1835</v>
      </c>
      <c r="C796" s="3">
        <f t="shared" si="57"/>
        <v>8.2417582417582125E-3</v>
      </c>
      <c r="D796" s="5">
        <v>1686.87</v>
      </c>
      <c r="E796" s="6">
        <f t="shared" si="58"/>
        <v>1.1112909316502106E-2</v>
      </c>
      <c r="F796" s="7">
        <v>0.11867251815107799</v>
      </c>
      <c r="G796" s="7">
        <f t="shared" si="52"/>
        <v>2.1589180897001459E-3</v>
      </c>
      <c r="H796" s="9">
        <f t="shared" si="55"/>
        <v>6.0828401520580666E-3</v>
      </c>
      <c r="I796" s="11">
        <f t="shared" si="56"/>
        <v>8.9539912268019606E-3</v>
      </c>
    </row>
    <row r="797" spans="1:9" x14ac:dyDescent="0.3">
      <c r="A797" s="1">
        <v>45844</v>
      </c>
      <c r="B797" s="12">
        <v>1820</v>
      </c>
      <c r="C797" s="3">
        <f t="shared" si="57"/>
        <v>-8.1743869209809361E-3</v>
      </c>
      <c r="D797" s="5">
        <v>1688.47</v>
      </c>
      <c r="E797" s="6">
        <f t="shared" si="58"/>
        <v>9.4850225565701329E-4</v>
      </c>
      <c r="F797" s="7">
        <v>0.11764801559474</v>
      </c>
      <c r="G797" s="7">
        <f t="shared" si="52"/>
        <v>2.1412602143493498E-3</v>
      </c>
      <c r="H797" s="9">
        <f t="shared" si="55"/>
        <v>-1.0315647135330286E-2</v>
      </c>
      <c r="I797" s="11">
        <f t="shared" si="56"/>
        <v>-1.1927579586923365E-3</v>
      </c>
    </row>
    <row r="798" spans="1:9" x14ac:dyDescent="0.3">
      <c r="A798" s="1">
        <v>45851</v>
      </c>
      <c r="B798" s="12">
        <v>1775</v>
      </c>
      <c r="C798" s="3">
        <f t="shared" si="57"/>
        <v>-2.4725274725274748E-2</v>
      </c>
      <c r="D798" s="5">
        <v>1733.54</v>
      </c>
      <c r="E798" s="6">
        <f t="shared" si="58"/>
        <v>2.6692804728541075E-2</v>
      </c>
      <c r="F798" s="7">
        <v>0.117439746038771</v>
      </c>
      <c r="G798" s="7">
        <f t="shared" si="52"/>
        <v>2.137668630343148E-3</v>
      </c>
      <c r="H798" s="9">
        <f t="shared" si="55"/>
        <v>-2.6862943355617896E-2</v>
      </c>
      <c r="I798" s="11">
        <f t="shared" si="56"/>
        <v>2.4555136098197927E-2</v>
      </c>
    </row>
    <row r="799" spans="1:9" x14ac:dyDescent="0.3">
      <c r="A799" s="1">
        <v>45858</v>
      </c>
      <c r="B799" s="12">
        <v>1765</v>
      </c>
      <c r="C799" s="3">
        <f t="shared" si="57"/>
        <v>-5.6338028169014009E-3</v>
      </c>
      <c r="D799" s="5">
        <v>1709.23</v>
      </c>
      <c r="E799" s="6">
        <f t="shared" si="58"/>
        <v>-1.4023327987816803E-2</v>
      </c>
      <c r="F799" s="7">
        <v>0.110827651578546</v>
      </c>
      <c r="G799" s="7">
        <f t="shared" si="52"/>
        <v>2.0233012235171266E-3</v>
      </c>
      <c r="H799" s="9">
        <f t="shared" si="55"/>
        <v>-7.6571040404185275E-3</v>
      </c>
      <c r="I799" s="11">
        <f t="shared" si="56"/>
        <v>-1.6046629211333929E-2</v>
      </c>
    </row>
    <row r="800" spans="1:9" x14ac:dyDescent="0.3">
      <c r="A800" s="1">
        <v>45865</v>
      </c>
      <c r="B800" s="12">
        <v>1720</v>
      </c>
      <c r="C800" s="3">
        <f t="shared" si="57"/>
        <v>-2.5495750708215303E-2</v>
      </c>
      <c r="D800" s="5">
        <v>1751.56</v>
      </c>
      <c r="E800" s="6">
        <f t="shared" si="58"/>
        <v>2.4765537698261841E-2</v>
      </c>
      <c r="F800" s="7">
        <v>0.11463899575127699</v>
      </c>
      <c r="G800" s="7">
        <f t="shared" si="52"/>
        <v>2.0893061389857248E-3</v>
      </c>
      <c r="H800" s="9">
        <f t="shared" si="55"/>
        <v>-2.7585056847201028E-2</v>
      </c>
      <c r="I800" s="11">
        <f t="shared" si="56"/>
        <v>2.2676231559276117E-2</v>
      </c>
    </row>
    <row r="801" spans="1:9" x14ac:dyDescent="0.3">
      <c r="A801" s="1">
        <v>45872</v>
      </c>
      <c r="B801" s="12">
        <v>1740</v>
      </c>
      <c r="C801" s="3">
        <f t="shared" si="57"/>
        <v>1.1627906976744207E-2</v>
      </c>
      <c r="D801" s="5">
        <v>1802.78</v>
      </c>
      <c r="E801" s="6">
        <f t="shared" si="58"/>
        <v>2.9242503825161581E-2</v>
      </c>
      <c r="F801" s="7">
        <v>0.115534780553235</v>
      </c>
      <c r="G801" s="7">
        <f t="shared" si="52"/>
        <v>2.104787225676974E-3</v>
      </c>
      <c r="H801" s="9">
        <f t="shared" si="55"/>
        <v>9.5231197510672327E-3</v>
      </c>
      <c r="I801" s="11">
        <f t="shared" si="56"/>
        <v>2.7137716599484607E-2</v>
      </c>
    </row>
    <row r="802" spans="1:9" x14ac:dyDescent="0.3">
      <c r="A802" s="1">
        <v>45879</v>
      </c>
      <c r="B802" s="12">
        <v>1800</v>
      </c>
      <c r="C802" s="3">
        <f t="shared" si="57"/>
        <v>3.4482758620689724E-2</v>
      </c>
      <c r="D802" s="5">
        <v>1856.83</v>
      </c>
      <c r="E802" s="6">
        <f t="shared" si="58"/>
        <v>2.9981473058276586E-2</v>
      </c>
      <c r="F802" s="7">
        <v>0.11362294953495</v>
      </c>
      <c r="G802" s="7">
        <f t="shared" si="52"/>
        <v>2.0717319002818702E-3</v>
      </c>
      <c r="H802" s="9">
        <f t="shared" si="55"/>
        <v>3.2411026720407854E-2</v>
      </c>
      <c r="I802" s="11">
        <f t="shared" si="56"/>
        <v>2.7909741157994716E-2</v>
      </c>
    </row>
    <row r="803" spans="1:9" x14ac:dyDescent="0.3">
      <c r="A803" s="1">
        <v>45886</v>
      </c>
      <c r="B803" s="12">
        <v>1850</v>
      </c>
      <c r="C803" s="3">
        <f t="shared" si="57"/>
        <v>2.7777777777777679E-2</v>
      </c>
      <c r="D803" s="5">
        <v>1858.45</v>
      </c>
      <c r="E803" s="6">
        <f t="shared" si="58"/>
        <v>8.7245466736329824E-4</v>
      </c>
      <c r="F803" s="7">
        <v>0.11526087924793399</v>
      </c>
      <c r="G803" s="7">
        <f t="shared" si="52"/>
        <v>2.1000549168712634E-3</v>
      </c>
      <c r="H803" s="9">
        <f t="shared" si="55"/>
        <v>2.5677722860906416E-2</v>
      </c>
      <c r="I803" s="11">
        <f t="shared" si="56"/>
        <v>-1.2276002495079652E-3</v>
      </c>
    </row>
    <row r="804" spans="1:9" x14ac:dyDescent="0.3">
      <c r="A804" s="1">
        <v>45893</v>
      </c>
      <c r="B804" s="12">
        <v>1890</v>
      </c>
      <c r="C804" s="3">
        <f t="shared" si="57"/>
        <v>2.1621621621621623E-2</v>
      </c>
      <c r="D804" s="5">
        <v>1845.6</v>
      </c>
      <c r="E804" s="6">
        <f t="shared" si="58"/>
        <v>-6.9143641206382833E-3</v>
      </c>
      <c r="F804" s="7">
        <v>0.11423942803743201</v>
      </c>
      <c r="G804" s="7">
        <f t="shared" si="52"/>
        <v>2.0823968143957039E-3</v>
      </c>
      <c r="H804" s="9">
        <f t="shared" si="55"/>
        <v>1.9539224807225919E-2</v>
      </c>
      <c r="I804" s="11">
        <f t="shared" si="56"/>
        <v>-8.9967609350339872E-3</v>
      </c>
    </row>
    <row r="805" spans="1:9" x14ac:dyDescent="0.3">
      <c r="A805" s="1">
        <v>45900</v>
      </c>
      <c r="B805" s="12">
        <v>1800</v>
      </c>
      <c r="C805" s="3">
        <f t="shared" si="57"/>
        <v>-4.7619047619047672E-2</v>
      </c>
      <c r="D805" s="5">
        <v>1862.87</v>
      </c>
      <c r="E805" s="6">
        <f t="shared" si="58"/>
        <v>9.3573905504984456E-3</v>
      </c>
      <c r="F805" s="7">
        <v>0.113307838009646</v>
      </c>
      <c r="G805" s="7">
        <f t="shared" si="52"/>
        <v>2.0662783182188171E-3</v>
      </c>
      <c r="H805" s="9">
        <f t="shared" si="55"/>
        <v>-4.9685325937266489E-2</v>
      </c>
      <c r="I805" s="11">
        <f t="shared" si="56"/>
        <v>7.2911122322796285E-3</v>
      </c>
    </row>
    <row r="806" spans="1:9" x14ac:dyDescent="0.3">
      <c r="A806" s="1">
        <v>45907</v>
      </c>
      <c r="B806" s="12">
        <v>1790</v>
      </c>
      <c r="C806" s="3">
        <f t="shared" si="57"/>
        <v>-5.5555555555555358E-3</v>
      </c>
      <c r="D806" s="5">
        <v>1845.61</v>
      </c>
      <c r="E806" s="6">
        <f t="shared" si="58"/>
        <v>-9.265273475873248E-3</v>
      </c>
      <c r="F806" s="7">
        <v>0.11431428369775</v>
      </c>
      <c r="G806" s="7">
        <f t="shared" si="52"/>
        <v>2.0836914033757203E-3</v>
      </c>
      <c r="H806" s="9">
        <f t="shared" si="55"/>
        <v>-7.6392469589312562E-3</v>
      </c>
      <c r="I806" s="11">
        <f t="shared" si="56"/>
        <v>-1.1348964879248968E-2</v>
      </c>
    </row>
    <row r="807" spans="1:9" x14ac:dyDescent="0.3">
      <c r="A807" s="1">
        <v>45914</v>
      </c>
      <c r="B807" s="12">
        <v>1730</v>
      </c>
      <c r="C807" s="3">
        <f t="shared" si="57"/>
        <v>-3.3519553072625663E-2</v>
      </c>
      <c r="D807" s="5">
        <v>1858.13</v>
      </c>
      <c r="E807" s="6">
        <f t="shared" si="58"/>
        <v>6.7836650213208838E-3</v>
      </c>
      <c r="F807" s="7">
        <v>0.109510462161845</v>
      </c>
      <c r="G807" s="7">
        <f t="shared" ref="G807:G822" si="59">(1+F807)^(1/52)-1</f>
        <v>2.0004384619165538E-3</v>
      </c>
      <c r="H807" s="9">
        <f t="shared" si="55"/>
        <v>-3.5519991534542217E-2</v>
      </c>
      <c r="I807" s="11">
        <f t="shared" si="56"/>
        <v>4.7832265594043299E-3</v>
      </c>
    </row>
    <row r="808" spans="1:9" x14ac:dyDescent="0.3">
      <c r="A808" s="1">
        <v>45921</v>
      </c>
      <c r="B808" s="12">
        <v>1845</v>
      </c>
      <c r="C808" s="3">
        <f t="shared" si="57"/>
        <v>6.6473988439306408E-2</v>
      </c>
      <c r="D808" s="5">
        <v>1863.45</v>
      </c>
      <c r="E808" s="6">
        <f t="shared" si="58"/>
        <v>2.8630935402798041E-3</v>
      </c>
      <c r="F808" s="7">
        <v>0.10991251596634199</v>
      </c>
      <c r="G808" s="7">
        <f t="shared" si="59"/>
        <v>2.0074198242625574E-3</v>
      </c>
      <c r="H808" s="9">
        <f t="shared" si="55"/>
        <v>6.4466568615043851E-2</v>
      </c>
      <c r="I808" s="11">
        <f t="shared" si="56"/>
        <v>8.5567371601724673E-4</v>
      </c>
    </row>
    <row r="809" spans="1:9" x14ac:dyDescent="0.3">
      <c r="A809" s="1">
        <v>45928</v>
      </c>
      <c r="B809" s="12">
        <v>1775</v>
      </c>
      <c r="C809" s="3">
        <f t="shared" si="57"/>
        <v>-3.7940379403794022E-2</v>
      </c>
      <c r="D809" s="5">
        <v>1861.27</v>
      </c>
      <c r="E809" s="6">
        <f t="shared" si="58"/>
        <v>-1.1698730848694883E-3</v>
      </c>
      <c r="F809" s="7">
        <v>0.111140076948129</v>
      </c>
      <c r="G809" s="7">
        <f t="shared" si="59"/>
        <v>2.0287201616806527E-3</v>
      </c>
      <c r="H809" s="9">
        <f t="shared" si="55"/>
        <v>-3.9969099565474675E-2</v>
      </c>
      <c r="I809" s="11">
        <f t="shared" si="56"/>
        <v>-3.198593246550141E-3</v>
      </c>
    </row>
    <row r="810" spans="1:9" x14ac:dyDescent="0.3">
      <c r="A810" s="1">
        <v>45935</v>
      </c>
      <c r="B810" s="12">
        <v>1730</v>
      </c>
      <c r="C810" s="3">
        <f t="shared" si="57"/>
        <v>-2.5352112676056304E-2</v>
      </c>
      <c r="D810" s="5">
        <v>1869.78</v>
      </c>
      <c r="E810" s="6">
        <f t="shared" si="58"/>
        <v>4.5721469749149257E-3</v>
      </c>
      <c r="F810" s="7">
        <v>0.11035264755039799</v>
      </c>
      <c r="G810" s="7">
        <f t="shared" si="59"/>
        <v>2.0150595354517797E-3</v>
      </c>
      <c r="H810" s="9">
        <f t="shared" si="55"/>
        <v>-2.7367172211508084E-2</v>
      </c>
      <c r="I810" s="11">
        <f t="shared" si="56"/>
        <v>2.557087439463146E-3</v>
      </c>
    </row>
    <row r="811" spans="1:9" x14ac:dyDescent="0.3">
      <c r="A811" s="1">
        <v>45942</v>
      </c>
      <c r="B811" s="12">
        <v>1740</v>
      </c>
      <c r="C811" s="3">
        <f t="shared" si="57"/>
        <v>5.7803468208093012E-3</v>
      </c>
      <c r="D811" s="5">
        <v>1924.26</v>
      </c>
      <c r="E811" s="6">
        <f t="shared" si="58"/>
        <v>2.913711773577643E-2</v>
      </c>
      <c r="F811" s="7">
        <v>0.11273344996683299</v>
      </c>
      <c r="G811" s="7">
        <f t="shared" si="59"/>
        <v>2.0563335851768727E-3</v>
      </c>
      <c r="H811" s="9">
        <f t="shared" si="55"/>
        <v>3.7240132356324285E-3</v>
      </c>
      <c r="I811" s="11">
        <f t="shared" si="56"/>
        <v>2.7080784150599557E-2</v>
      </c>
    </row>
    <row r="812" spans="1:9" x14ac:dyDescent="0.3">
      <c r="A812" s="1">
        <v>45949</v>
      </c>
      <c r="B812" s="12">
        <v>1770</v>
      </c>
      <c r="C812" s="3">
        <f t="shared" si="57"/>
        <v>1.7241379310344751E-2</v>
      </c>
      <c r="D812" s="5">
        <v>1945.79</v>
      </c>
      <c r="E812" s="6">
        <f t="shared" si="58"/>
        <v>1.1188716701485246E-2</v>
      </c>
      <c r="F812" s="7">
        <v>0.11195382175636799</v>
      </c>
      <c r="G812" s="7">
        <f t="shared" si="59"/>
        <v>2.0428273453922952E-3</v>
      </c>
      <c r="H812" s="9">
        <f t="shared" si="55"/>
        <v>1.5198551964952456E-2</v>
      </c>
      <c r="I812" s="11">
        <f t="shared" si="56"/>
        <v>9.1458893560929511E-3</v>
      </c>
    </row>
    <row r="813" spans="1:9" x14ac:dyDescent="0.3">
      <c r="A813" s="1">
        <v>45956</v>
      </c>
      <c r="B813" s="12">
        <v>1780</v>
      </c>
      <c r="C813" s="3">
        <f t="shared" si="57"/>
        <v>5.6497175141243527E-3</v>
      </c>
      <c r="D813" s="5">
        <v>1987.12</v>
      </c>
      <c r="E813" s="6">
        <f t="shared" si="58"/>
        <v>2.1240729986278017E-2</v>
      </c>
      <c r="F813" s="7">
        <v>0.11423920502149799</v>
      </c>
      <c r="G813" s="7">
        <f t="shared" si="59"/>
        <v>2.0823929573259292E-3</v>
      </c>
      <c r="H813" s="9">
        <f t="shared" si="55"/>
        <v>3.5673245567984235E-3</v>
      </c>
      <c r="I813" s="11">
        <f t="shared" si="56"/>
        <v>1.9158337028952088E-2</v>
      </c>
    </row>
    <row r="814" spans="1:9" x14ac:dyDescent="0.3">
      <c r="A814" s="1">
        <v>45963</v>
      </c>
      <c r="B814" s="12">
        <v>1865</v>
      </c>
      <c r="C814" s="3">
        <f t="shared" si="57"/>
        <v>4.7752808988763995E-2</v>
      </c>
      <c r="D814" s="5">
        <v>2072.2800000000002</v>
      </c>
      <c r="E814" s="6">
        <f t="shared" si="58"/>
        <v>4.2855992592294445E-2</v>
      </c>
      <c r="F814" s="7">
        <v>0.114896074693829</v>
      </c>
      <c r="G814" s="7">
        <f t="shared" si="59"/>
        <v>2.0937502637334848E-3</v>
      </c>
      <c r="H814" s="9">
        <f t="shared" si="55"/>
        <v>4.565905872503051E-2</v>
      </c>
      <c r="I814" s="11">
        <f t="shared" si="56"/>
        <v>4.076224232856096E-2</v>
      </c>
    </row>
    <row r="815" spans="1:9" x14ac:dyDescent="0.3">
      <c r="A815" s="1">
        <v>45970</v>
      </c>
      <c r="B815" s="12">
        <v>1950</v>
      </c>
      <c r="C815" s="3">
        <f t="shared" si="57"/>
        <v>4.5576407506702443E-2</v>
      </c>
      <c r="D815" s="5">
        <v>2071.23</v>
      </c>
      <c r="E815" s="6">
        <f t="shared" si="58"/>
        <v>-5.0668828536692967E-4</v>
      </c>
      <c r="F815" s="7">
        <v>0.11480533837565501</v>
      </c>
      <c r="G815" s="7">
        <f t="shared" si="59"/>
        <v>2.0921818193992969E-3</v>
      </c>
      <c r="H815" s="9">
        <f t="shared" si="55"/>
        <v>4.3484225687303146E-2</v>
      </c>
      <c r="I815" s="11">
        <f t="shared" si="56"/>
        <v>-2.5988701047662266E-3</v>
      </c>
    </row>
    <row r="816" spans="1:9" x14ac:dyDescent="0.3">
      <c r="A816" s="1">
        <v>45977</v>
      </c>
      <c r="B816" s="12">
        <v>1860</v>
      </c>
      <c r="C816" s="3">
        <f t="shared" si="57"/>
        <v>-4.6153846153846101E-2</v>
      </c>
      <c r="D816" s="5">
        <v>2033.99</v>
      </c>
      <c r="E816" s="6">
        <f t="shared" si="58"/>
        <v>-1.7979654601372186E-2</v>
      </c>
      <c r="F816" s="7">
        <v>0.11962524522624801</v>
      </c>
      <c r="G816" s="7">
        <f t="shared" si="59"/>
        <v>2.1753246475977317E-3</v>
      </c>
      <c r="H816" s="9">
        <f t="shared" si="55"/>
        <v>-4.8329170801443833E-2</v>
      </c>
      <c r="I816" s="11">
        <f t="shared" si="56"/>
        <v>-2.0154979248969918E-2</v>
      </c>
    </row>
    <row r="817" spans="1:9" x14ac:dyDescent="0.3">
      <c r="A817" s="1">
        <v>45984</v>
      </c>
      <c r="B817" s="12">
        <v>1880</v>
      </c>
      <c r="C817" s="3">
        <f t="shared" si="57"/>
        <v>1.0752688172043001E-2</v>
      </c>
      <c r="D817" s="5">
        <v>2073.2800000000002</v>
      </c>
      <c r="E817" s="6">
        <f t="shared" si="58"/>
        <v>1.9316712471546094E-2</v>
      </c>
      <c r="F817" s="7">
        <v>0.12211374451868601</v>
      </c>
      <c r="G817" s="7">
        <f t="shared" si="59"/>
        <v>2.2181136620111896E-3</v>
      </c>
      <c r="H817" s="9">
        <f t="shared" si="55"/>
        <v>8.5345745100318116E-3</v>
      </c>
      <c r="I817" s="11">
        <f t="shared" si="56"/>
        <v>1.7098598809534904E-2</v>
      </c>
    </row>
    <row r="818" spans="1:9" x14ac:dyDescent="0.3">
      <c r="A818" s="1">
        <v>45991</v>
      </c>
      <c r="B818" s="12">
        <v>1905</v>
      </c>
      <c r="C818" s="3">
        <f t="shared" si="57"/>
        <v>1.3297872340425565E-2</v>
      </c>
      <c r="D818" s="5">
        <v>2112.6999999999998</v>
      </c>
      <c r="E818" s="6">
        <f t="shared" si="58"/>
        <v>1.9013350825744624E-2</v>
      </c>
      <c r="F818" s="7">
        <v>0.123311539703524</v>
      </c>
      <c r="G818" s="7">
        <f t="shared" si="59"/>
        <v>2.2386762299582141E-3</v>
      </c>
      <c r="H818" s="9">
        <f t="shared" si="55"/>
        <v>1.1059196110467351E-2</v>
      </c>
      <c r="I818" s="11">
        <f t="shared" si="56"/>
        <v>1.677467459578641E-2</v>
      </c>
    </row>
    <row r="819" spans="1:9" x14ac:dyDescent="0.3">
      <c r="A819" s="1">
        <v>45998</v>
      </c>
      <c r="B819" s="12">
        <v>1865</v>
      </c>
      <c r="C819" s="3">
        <f t="shared" si="57"/>
        <v>-2.0997375328083989E-2</v>
      </c>
      <c r="D819" s="5">
        <v>2108.6999999999998</v>
      </c>
      <c r="E819" s="6">
        <f t="shared" si="58"/>
        <v>-1.8933118757987755E-3</v>
      </c>
      <c r="F819" s="7">
        <v>0.12025327391931899</v>
      </c>
      <c r="G819" s="7">
        <f t="shared" si="59"/>
        <v>2.1861322095018121E-3</v>
      </c>
      <c r="H819" s="9">
        <f t="shared" si="55"/>
        <v>-2.3183507537585801E-2</v>
      </c>
      <c r="I819" s="11">
        <f t="shared" si="56"/>
        <v>-4.0794440853005876E-3</v>
      </c>
    </row>
    <row r="820" spans="1:9" x14ac:dyDescent="0.3">
      <c r="A820" s="1">
        <v>46005</v>
      </c>
      <c r="B820" s="12">
        <v>1765</v>
      </c>
      <c r="C820" s="3">
        <f t="shared" si="57"/>
        <v>-5.3619302949061698E-2</v>
      </c>
      <c r="D820" s="5">
        <v>2048.9899999999998</v>
      </c>
      <c r="E820" s="6">
        <f t="shared" si="58"/>
        <v>-2.8316024090672021E-2</v>
      </c>
      <c r="F820" s="7">
        <v>0.12417833670549899</v>
      </c>
      <c r="G820" s="7">
        <f t="shared" si="59"/>
        <v>2.2535431398469363E-3</v>
      </c>
      <c r="H820" s="9">
        <f t="shared" si="55"/>
        <v>-5.5872846088908634E-2</v>
      </c>
      <c r="I820" s="11">
        <f t="shared" si="56"/>
        <v>-3.0569567230518957E-2</v>
      </c>
    </row>
    <row r="821" spans="1:9" x14ac:dyDescent="0.3">
      <c r="A821" s="1">
        <v>46012</v>
      </c>
      <c r="B821" s="12">
        <v>1800</v>
      </c>
      <c r="C821" s="3">
        <f t="shared" si="57"/>
        <v>1.9830028328611915E-2</v>
      </c>
      <c r="D821" s="5">
        <v>2081.58</v>
      </c>
      <c r="E821" s="6">
        <f t="shared" si="58"/>
        <v>1.590539729330076E-2</v>
      </c>
      <c r="F821" s="7">
        <v>0.12832859695861701</v>
      </c>
      <c r="G821" s="7">
        <f t="shared" si="59"/>
        <v>2.3245710974464373E-3</v>
      </c>
      <c r="H821" s="9">
        <f t="shared" si="55"/>
        <v>1.7505457231165478E-2</v>
      </c>
      <c r="I821" s="11">
        <f t="shared" si="56"/>
        <v>1.3580826195854323E-2</v>
      </c>
    </row>
    <row r="822" spans="1:9" x14ac:dyDescent="0.3">
      <c r="A822" s="1">
        <v>46019</v>
      </c>
      <c r="B822" s="12">
        <v>1920</v>
      </c>
      <c r="C822" s="3">
        <f t="shared" si="57"/>
        <v>6.6666666666666652E-2</v>
      </c>
      <c r="D822" s="5">
        <v>2069.02</v>
      </c>
      <c r="E822" s="6">
        <f t="shared" si="58"/>
        <v>-6.03387811181888E-3</v>
      </c>
      <c r="F822" s="7">
        <v>0.12224425000047599</v>
      </c>
      <c r="G822" s="7">
        <f t="shared" si="59"/>
        <v>2.2203550962844876E-3</v>
      </c>
      <c r="H822" s="9">
        <f t="shared" si="55"/>
        <v>6.4446311570382164E-2</v>
      </c>
      <c r="I822" s="11">
        <f t="shared" si="56"/>
        <v>-8.2542332081033676E-3</v>
      </c>
    </row>
    <row r="823" spans="1:9" x14ac:dyDescent="0.3">
      <c r="D82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ARG_Historical_Data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Juan Carlos Botero</cp:lastModifiedBy>
  <dcterms:created xsi:type="dcterms:W3CDTF">2020-08-25T15:53:20Z</dcterms:created>
  <dcterms:modified xsi:type="dcterms:W3CDTF">2026-01-07T20:10:14Z</dcterms:modified>
</cp:coreProperties>
</file>